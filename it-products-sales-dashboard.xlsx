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D:\Data Analysis\Projects\Excel Dashboards\IT Products Sales Dashboard\"/>
    </mc:Choice>
  </mc:AlternateContent>
  <xr:revisionPtr revIDLastSave="0" documentId="8_{6E4456A1-C189-4370-A764-660FFB1271D2}" xr6:coauthVersionLast="47" xr6:coauthVersionMax="47" xr10:uidLastSave="{00000000-0000-0000-0000-000000000000}"/>
  <bookViews>
    <workbookView xWindow="-120" yWindow="-120" windowWidth="29040" windowHeight="15720" activeTab="5" xr2:uid="{8F1806A2-DEC3-45E8-B6A6-30FC2B1A6DF2}"/>
  </bookViews>
  <sheets>
    <sheet name="Customers" sheetId="1" r:id="rId1"/>
    <sheet name="Products" sheetId="2" r:id="rId2"/>
    <sheet name="Stores" sheetId="3" r:id="rId3"/>
    <sheet name="Sales" sheetId="4" r:id="rId4"/>
    <sheet name="Pivots" sheetId="5" r:id="rId5"/>
    <sheet name="Dashboard" sheetId="6" r:id="rId6"/>
  </sheets>
  <definedNames>
    <definedName name="_xlcn.WorksheetConnection_module6businessdashboard.xlsxCustomers1" hidden="1">Customers[]</definedName>
    <definedName name="_xlcn.WorksheetConnection_module6businessdashboard.xlsxProducts1" hidden="1">Products[]</definedName>
    <definedName name="_xlcn.WorksheetConnection_module6businessdashboard.xlsxSales1" hidden="1">Sales[]</definedName>
    <definedName name="_xlcn.WorksheetConnection_module6businessdashboard.xlsxStores1" hidden="1">Stores[]</definedName>
    <definedName name="Slicer_Category">#N/A</definedName>
    <definedName name="Slicer_Customer_Name">#N/A</definedName>
    <definedName name="Slicer_Product_Name">#N/A</definedName>
    <definedName name="Slicer_Region">#N/A</definedName>
    <definedName name="Slicer_Store_Name">#N/A</definedName>
  </definedNames>
  <calcPr calcId="191029"/>
  <pivotCaches>
    <pivotCache cacheId="24" r:id="rId7"/>
    <pivotCache cacheId="27" r:id="rId8"/>
    <pivotCache cacheId="30" r:id="rId9"/>
  </pivotCaches>
  <extLst>
    <ext xmlns:x14="http://schemas.microsoft.com/office/spreadsheetml/2009/9/main" uri="{876F7934-8845-4945-9796-88D515C7AA90}">
      <x14:pivotCaches>
        <pivotCache cacheId="3" r:id="rId10"/>
      </x14:pivotCaches>
    </ex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s" name="Stores" connection="WorksheetConnection_module-6-business-dashboard.xlsx!Stores"/>
          <x15:modelTable id="Sales" name="Sales" connection="WorksheetConnection_module-6-business-dashboard.xlsx!Sales"/>
          <x15:modelTable id="Products" name="Products" connection="WorksheetConnection_module-6-business-dashboard.xlsx!Products"/>
          <x15:modelTable id="Customers" name="Customers" connection="WorksheetConnection_module-6-business-dashboard.xlsx!Customers"/>
        </x15:modelTables>
        <x15:modelRelationships>
          <x15:modelRelationship fromTable="Sales" fromColumn="Customer ID" toTable="Customers" toColumn="Customer ID"/>
          <x15:modelRelationship fromTable="Sales" fromColumn="Product ID" toTable="Products" toColumn="Product ID"/>
          <x15:modelRelationship fromTable="Sales" fromColumn="Store ID" toTable="Stores" toColumn="Store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5" l="1"/>
  <c r="J5" i="5"/>
  <c r="I5" i="5"/>
  <c r="H5" i="5"/>
  <c r="G5" i="5"/>
  <c r="B18" i="5"/>
  <c r="B1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AE00B4-A044-4226-80D7-2C2B2F78EFD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7D2C9CC9-A359-4706-B6A0-1F486C7238DE}" name="WorksheetConnection_module-6-business-dashboard.xlsx!Customers" type="102" refreshedVersion="8" minRefreshableVersion="5">
    <extLst>
      <ext xmlns:x15="http://schemas.microsoft.com/office/spreadsheetml/2010/11/main" uri="{DE250136-89BD-433C-8126-D09CA5730AF9}">
        <x15:connection id="Customers">
          <x15:rangePr sourceName="_xlcn.WorksheetConnection_module6businessdashboard.xlsxCustomers1"/>
        </x15:connection>
      </ext>
    </extLst>
  </connection>
  <connection id="3" xr16:uid="{AA309E4A-4C40-4426-B756-DAE2004E805E}" name="WorksheetConnection_module-6-business-dashboard.xlsx!Products" type="102" refreshedVersion="8" minRefreshableVersion="5">
    <extLst>
      <ext xmlns:x15="http://schemas.microsoft.com/office/spreadsheetml/2010/11/main" uri="{DE250136-89BD-433C-8126-D09CA5730AF9}">
        <x15:connection id="Products">
          <x15:rangePr sourceName="_xlcn.WorksheetConnection_module6businessdashboard.xlsxProducts1"/>
        </x15:connection>
      </ext>
    </extLst>
  </connection>
  <connection id="4" xr16:uid="{9496A198-5438-4CCD-9064-C3D5721E926B}" name="WorksheetConnection_module-6-business-dashboard.xlsx!Sales" type="102" refreshedVersion="8" minRefreshableVersion="5">
    <extLst>
      <ext xmlns:x15="http://schemas.microsoft.com/office/spreadsheetml/2010/11/main" uri="{DE250136-89BD-433C-8126-D09CA5730AF9}">
        <x15:connection id="Sales">
          <x15:rangePr sourceName="_xlcn.WorksheetConnection_module6businessdashboard.xlsxSales1"/>
        </x15:connection>
      </ext>
    </extLst>
  </connection>
  <connection id="5" xr16:uid="{8124735F-2F29-437C-9D27-317B60DECB69}" name="WorksheetConnection_module-6-business-dashboard.xlsx!Stores" type="102" refreshedVersion="8" minRefreshableVersion="5">
    <extLst>
      <ext xmlns:x15="http://schemas.microsoft.com/office/spreadsheetml/2010/11/main" uri="{DE250136-89BD-433C-8126-D09CA5730AF9}">
        <x15:connection id="Stores">
          <x15:rangePr sourceName="_xlcn.WorksheetConnection_module6businessdashboard.xlsxStores1"/>
        </x15:connection>
      </ext>
    </extLst>
  </connection>
</connections>
</file>

<file path=xl/sharedStrings.xml><?xml version="1.0" encoding="utf-8"?>
<sst xmlns="http://schemas.openxmlformats.org/spreadsheetml/2006/main" count="235" uniqueCount="118">
  <si>
    <t>Region</t>
  </si>
  <si>
    <t>Customer Name</t>
  </si>
  <si>
    <t>Customer ID</t>
  </si>
  <si>
    <t>Faisal</t>
  </si>
  <si>
    <t>Riyad</t>
  </si>
  <si>
    <t>Sayem</t>
  </si>
  <si>
    <t>Mamun</t>
  </si>
  <si>
    <t>Mayeen</t>
  </si>
  <si>
    <t>Tasin</t>
  </si>
  <si>
    <t>Rayhan</t>
  </si>
  <si>
    <t>Tawheed</t>
  </si>
  <si>
    <t>Anas</t>
  </si>
  <si>
    <t>Tamim</t>
  </si>
  <si>
    <t>C001</t>
  </si>
  <si>
    <t>C002</t>
  </si>
  <si>
    <t>C003</t>
  </si>
  <si>
    <t>C004</t>
  </si>
  <si>
    <t>C005</t>
  </si>
  <si>
    <t>C006</t>
  </si>
  <si>
    <t>C007</t>
  </si>
  <si>
    <t>C008</t>
  </si>
  <si>
    <t>C009</t>
  </si>
  <si>
    <t>C010</t>
  </si>
  <si>
    <t>Dhaka</t>
  </si>
  <si>
    <t>Chittagong</t>
  </si>
  <si>
    <t>Rajshahi</t>
  </si>
  <si>
    <t>Product ID</t>
  </si>
  <si>
    <t>Product Name</t>
  </si>
  <si>
    <t>Category</t>
  </si>
  <si>
    <t>Unit Cost</t>
  </si>
  <si>
    <t>North</t>
  </si>
  <si>
    <t>South</t>
  </si>
  <si>
    <t>East</t>
  </si>
  <si>
    <t>West</t>
  </si>
  <si>
    <t>Keyboard</t>
  </si>
  <si>
    <t>Mouse</t>
  </si>
  <si>
    <t>Laptop</t>
  </si>
  <si>
    <t>Mobile</t>
  </si>
  <si>
    <t>Electronics</t>
  </si>
  <si>
    <t>HDMI Cable</t>
  </si>
  <si>
    <t>Headphones</t>
  </si>
  <si>
    <t>Accessories</t>
  </si>
  <si>
    <t>Router</t>
  </si>
  <si>
    <t>Ethernet Cable</t>
  </si>
  <si>
    <t>Network Switch</t>
  </si>
  <si>
    <t>Networking</t>
  </si>
  <si>
    <t>Casing</t>
  </si>
  <si>
    <t>P001</t>
  </si>
  <si>
    <t>P002</t>
  </si>
  <si>
    <t>P003</t>
  </si>
  <si>
    <t>P004</t>
  </si>
  <si>
    <t>P005</t>
  </si>
  <si>
    <t>P006</t>
  </si>
  <si>
    <t>P007</t>
  </si>
  <si>
    <t>P008</t>
  </si>
  <si>
    <t>P009</t>
  </si>
  <si>
    <t>P010</t>
  </si>
  <si>
    <t>Store ID</t>
  </si>
  <si>
    <t>Store Name</t>
  </si>
  <si>
    <t>City</t>
  </si>
  <si>
    <t>Star Tech</t>
  </si>
  <si>
    <t>Ryans Computer</t>
  </si>
  <si>
    <t>Computer Village</t>
  </si>
  <si>
    <t>UCC</t>
  </si>
  <si>
    <t>Computer Mania</t>
  </si>
  <si>
    <t>Global Brand PLC</t>
  </si>
  <si>
    <t>Computer Source</t>
  </si>
  <si>
    <t>Potaka IT</t>
  </si>
  <si>
    <t>Smart Technologies</t>
  </si>
  <si>
    <t>Techland BD</t>
  </si>
  <si>
    <t>Sylhet</t>
  </si>
  <si>
    <t>S001</t>
  </si>
  <si>
    <t>S002</t>
  </si>
  <si>
    <t>S003</t>
  </si>
  <si>
    <t>S004</t>
  </si>
  <si>
    <t>S005</t>
  </si>
  <si>
    <t>S006</t>
  </si>
  <si>
    <t>S007</t>
  </si>
  <si>
    <t>S008</t>
  </si>
  <si>
    <t>S009</t>
  </si>
  <si>
    <t>S010</t>
  </si>
  <si>
    <t>Order ID</t>
  </si>
  <si>
    <t>Quantity</t>
  </si>
  <si>
    <t>Sales Amount</t>
  </si>
  <si>
    <t>Order Date</t>
  </si>
  <si>
    <t>O001</t>
  </si>
  <si>
    <t>O002</t>
  </si>
  <si>
    <t>O003</t>
  </si>
  <si>
    <t>O004</t>
  </si>
  <si>
    <t>O005</t>
  </si>
  <si>
    <t>O006</t>
  </si>
  <si>
    <t>O007</t>
  </si>
  <si>
    <t>O008</t>
  </si>
  <si>
    <t>O009</t>
  </si>
  <si>
    <t>O010</t>
  </si>
  <si>
    <t>O011</t>
  </si>
  <si>
    <t>O012</t>
  </si>
  <si>
    <t>O013</t>
  </si>
  <si>
    <t>O014</t>
  </si>
  <si>
    <t>O015</t>
  </si>
  <si>
    <t>O016</t>
  </si>
  <si>
    <t>O017</t>
  </si>
  <si>
    <t>O018</t>
  </si>
  <si>
    <t>O019</t>
  </si>
  <si>
    <t>O020</t>
  </si>
  <si>
    <t>O021</t>
  </si>
  <si>
    <t>O022</t>
  </si>
  <si>
    <t>O023</t>
  </si>
  <si>
    <t>O024</t>
  </si>
  <si>
    <t>Row Labels</t>
  </si>
  <si>
    <t>Grand Total</t>
  </si>
  <si>
    <t>Total Sales</t>
  </si>
  <si>
    <t>Total Sales by Product</t>
  </si>
  <si>
    <t>Total Sales by Region</t>
  </si>
  <si>
    <t>Total Cost</t>
  </si>
  <si>
    <t>Total Profit</t>
  </si>
  <si>
    <t>Profit Percentage</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</si>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</sst>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0.00%;0.00%"/>
  </numFmts>
  <fonts count="6" x14ac:knownFonts="1">
    <font>
      <sz val="11"/>
      <color theme="1"/>
      <name val="Aptos Narrow"/>
      <family val="2"/>
      <scheme val="minor"/>
    </font>
    <font>
      <sz val="11"/>
      <name val="Aptos Narrow"/>
      <family val="2"/>
      <scheme val="minor"/>
    </font>
    <font>
      <sz val="8"/>
      <name val="Aptos Narrow"/>
      <family val="2"/>
      <scheme val="minor"/>
    </font>
    <font>
      <sz val="11"/>
      <color theme="1"/>
      <name val="Aptos Narrow"/>
      <family val="2"/>
      <scheme val="minor"/>
    </font>
    <font>
      <b/>
      <sz val="11"/>
      <color theme="1"/>
      <name val="Aptos Narrow"/>
      <family val="2"/>
      <scheme val="minor"/>
    </font>
    <font>
      <sz val="11"/>
      <color theme="1"/>
      <name val="Constantia"/>
      <family val="1"/>
    </font>
  </fonts>
  <fills count="4">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4">
    <xf numFmtId="0" fontId="0" fillId="0" borderId="0" xfId="0"/>
    <xf numFmtId="0" fontId="1" fillId="0" borderId="0" xfId="0" applyFont="1"/>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4" fillId="2" borderId="0" xfId="0" applyFont="1" applyFill="1"/>
    <xf numFmtId="0" fontId="4" fillId="0" borderId="0" xfId="0" applyFont="1"/>
    <xf numFmtId="165" fontId="0" fillId="0" borderId="0" xfId="0" applyNumberFormat="1"/>
    <xf numFmtId="0" fontId="5" fillId="0" borderId="0" xfId="0" applyFont="1"/>
    <xf numFmtId="0" fontId="0" fillId="3" borderId="0" xfId="0" applyFill="1"/>
    <xf numFmtId="10" fontId="0" fillId="0" borderId="0" xfId="1" applyNumberFormat="1" applyFont="1"/>
    <xf numFmtId="1" fontId="0" fillId="0" borderId="0" xfId="0" applyNumberFormat="1"/>
    <xf numFmtId="0" fontId="0" fillId="0" borderId="0" xfId="0" applyNumberFormat="1"/>
  </cellXfs>
  <cellStyles count="2">
    <cellStyle name="Normal" xfId="0" builtinId="0"/>
    <cellStyle name="Percent" xfId="1" builtinId="5"/>
  </cellStyles>
  <dxfs count="4">
    <dxf>
      <numFmt numFmtId="1" formatCode="0"/>
    </dxf>
    <dxf>
      <numFmt numFmtId="1" formatCode="0"/>
    </dxf>
    <dxf>
      <numFmt numFmtId="1" formatCode="0"/>
    </dxf>
    <dxf>
      <numFmt numFmtId="1" formatCode="0"/>
    </dxf>
  </dxfs>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4.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[it-products-sales-dashboard.xlsx]Pivots!PivotTable1</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Sales By Product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innerShdw blurRad="114300">
              <a:srgbClr val="FFFF00"/>
            </a:innerShdw>
          </a:effectLst>
        </c:spPr>
        <c:marker>
          <c:symbol val="none"/>
        </c:marke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13"/>
        <c:spPr>
          <a:solidFill>
            <a:srgbClr val="FFC000"/>
          </a:solidFill>
          <a:ln>
            <a:noFill/>
          </a:ln>
          <a:effectLst>
            <a:innerShdw blurRad="114300">
              <a:srgbClr val="FFFF00"/>
            </a:innerShdw>
          </a:effectLst>
        </c:spPr>
        <c:dLbl>
          <c:idx val="0"/>
          <c:spPr>
            <a:solidFill>
              <a:srgbClr val="0F9ED5">
                <a:alpha val="70000"/>
              </a:srgbClr>
            </a:solidFill>
            <a:ln>
              <a:solidFill>
                <a:srgbClr val="FFC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C000"/>
          </a:solidFill>
          <a:ln>
            <a:noFill/>
          </a:ln>
          <a:effectLst>
            <a:innerShdw blurRad="114300">
              <a:srgbClr val="FFFF00"/>
            </a:innerShdw>
          </a:effectLst>
        </c:spPr>
        <c:dLbl>
          <c:idx val="0"/>
          <c:spPr>
            <a:solidFill>
              <a:srgbClr val="0F9ED5">
                <a:alpha val="70000"/>
              </a:srgbClr>
            </a:solidFill>
            <a:ln>
              <a:solidFill>
                <a:srgbClr val="FFC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C000"/>
          </a:solidFill>
          <a:ln>
            <a:noFill/>
          </a:ln>
          <a:effectLst>
            <a:innerShdw blurRad="114300">
              <a:srgbClr val="FFFF00"/>
            </a:innerShdw>
          </a:effectLst>
        </c:spPr>
        <c:dLbl>
          <c:idx val="0"/>
          <c:spPr>
            <a:solidFill>
              <a:srgbClr val="0F9ED5">
                <a:alpha val="70000"/>
              </a:srgbClr>
            </a:solidFill>
            <a:ln>
              <a:solidFill>
                <a:srgbClr val="FFC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C000"/>
          </a:solidFill>
          <a:ln>
            <a:noFill/>
          </a:ln>
          <a:effectLst>
            <a:innerShdw blurRad="114300">
              <a:srgbClr val="FFFF00"/>
            </a:innerShdw>
          </a:effectLst>
        </c:spPr>
        <c:dLbl>
          <c:idx val="0"/>
          <c:spPr>
            <a:solidFill>
              <a:srgbClr val="0F9ED5">
                <a:alpha val="70000"/>
              </a:srgbClr>
            </a:solidFill>
            <a:ln>
              <a:solidFill>
                <a:srgbClr val="FFC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ln>
          <a:effectLst>
            <a:innerShdw blurRad="114300">
              <a:srgbClr val="FFFF00"/>
            </a:innerShdw>
          </a:effectLst>
        </c:spPr>
        <c:dLbl>
          <c:idx val="0"/>
          <c:spPr>
            <a:solidFill>
              <a:srgbClr val="0F9ED5">
                <a:alpha val="70000"/>
              </a:srgbClr>
            </a:solidFill>
            <a:ln>
              <a:solidFill>
                <a:srgbClr val="FFC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C000"/>
          </a:solidFill>
          <a:ln>
            <a:noFill/>
          </a:ln>
          <a:effectLst>
            <a:innerShdw blurRad="114300">
              <a:srgbClr val="FFFF00"/>
            </a:innerShdw>
          </a:effectLst>
        </c:spPr>
        <c:dLbl>
          <c:idx val="0"/>
          <c:spPr>
            <a:solidFill>
              <a:srgbClr val="0F9ED5">
                <a:alpha val="70000"/>
              </a:srgbClr>
            </a:solidFill>
            <a:ln>
              <a:solidFill>
                <a:srgbClr val="FFC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C000"/>
          </a:solidFill>
          <a:ln>
            <a:noFill/>
          </a:ln>
          <a:effectLst>
            <a:innerShdw blurRad="114300">
              <a:srgbClr val="FFFF00"/>
            </a:innerShdw>
          </a:effectLst>
        </c:spPr>
        <c:dLbl>
          <c:idx val="0"/>
          <c:spPr>
            <a:solidFill>
              <a:srgbClr val="0F9ED5">
                <a:alpha val="70000"/>
              </a:srgbClr>
            </a:solidFill>
            <a:ln>
              <a:solidFill>
                <a:srgbClr val="FFC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C000"/>
          </a:solidFill>
          <a:ln>
            <a:noFill/>
          </a:ln>
          <a:effectLst>
            <a:innerShdw blurRad="114300">
              <a:srgbClr val="FFFF00"/>
            </a:innerShdw>
          </a:effectLst>
        </c:spPr>
        <c:dLbl>
          <c:idx val="0"/>
          <c:spPr>
            <a:solidFill>
              <a:srgbClr val="0F9ED5">
                <a:alpha val="70000"/>
              </a:srgbClr>
            </a:solidFill>
            <a:ln>
              <a:solidFill>
                <a:srgbClr val="FFC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C000"/>
          </a:solidFill>
          <a:ln>
            <a:noFill/>
          </a:ln>
          <a:effectLst>
            <a:innerShdw blurRad="114300">
              <a:srgbClr val="FFFF00"/>
            </a:innerShdw>
          </a:effectLst>
        </c:spPr>
        <c:dLbl>
          <c:idx val="0"/>
          <c:spPr>
            <a:solidFill>
              <a:srgbClr val="0F9ED5">
                <a:alpha val="70000"/>
              </a:srgbClr>
            </a:solidFill>
            <a:ln>
              <a:solidFill>
                <a:srgbClr val="FFC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C000"/>
          </a:solidFill>
          <a:ln>
            <a:noFill/>
          </a:ln>
          <a:effectLst>
            <a:innerShdw blurRad="114300">
              <a:srgbClr val="FFFF00"/>
            </a:innerShdw>
          </a:effectLst>
        </c:spPr>
        <c:dLbl>
          <c:idx val="0"/>
          <c:spPr>
            <a:solidFill>
              <a:srgbClr val="0F9ED5">
                <a:alpha val="70000"/>
              </a:srgbClr>
            </a:solidFill>
            <a:ln>
              <a:solidFill>
                <a:srgbClr val="FFC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04267116338225"/>
          <c:y val="8.3395165823496348E-2"/>
          <c:w val="0.8602277891307144"/>
          <c:h val="0.78296716283145884"/>
        </c:manualLayout>
      </c:layout>
      <c:barChart>
        <c:barDir val="col"/>
        <c:grouping val="clustered"/>
        <c:varyColors val="1"/>
        <c:ser>
          <c:idx val="0"/>
          <c:order val="0"/>
          <c:tx>
            <c:strRef>
              <c:f>Pivots!$B$1</c:f>
              <c:strCache>
                <c:ptCount val="1"/>
                <c:pt idx="0">
                  <c:v>Total</c:v>
                </c:pt>
              </c:strCache>
            </c:strRef>
          </c:tx>
          <c:spPr>
            <a:solidFill>
              <a:srgbClr val="FFC000"/>
            </a:solidFill>
            <a:ln>
              <a:noFill/>
            </a:ln>
            <a:effectLst>
              <a:innerShdw blurRad="114300">
                <a:srgbClr val="FFFF00"/>
              </a:innerShdw>
            </a:effectLst>
          </c:spPr>
          <c:invertIfNegative val="0"/>
          <c:dPt>
            <c:idx val="0"/>
            <c:invertIfNegative val="0"/>
            <c:bubble3D val="0"/>
            <c:spPr>
              <a:solidFill>
                <a:srgbClr val="FFC000"/>
              </a:solidFill>
              <a:ln>
                <a:noFill/>
              </a:ln>
              <a:effectLst>
                <a:innerShdw blurRad="114300">
                  <a:srgbClr val="FFFF00"/>
                </a:innerShdw>
              </a:effectLst>
            </c:spPr>
            <c:extLst>
              <c:ext xmlns:c16="http://schemas.microsoft.com/office/drawing/2014/chart" uri="{C3380CC4-5D6E-409C-BE32-E72D297353CC}">
                <c16:uniqueId val="{00000018-2A25-4B7A-AD6C-EA3F1BB2BADD}"/>
              </c:ext>
            </c:extLst>
          </c:dPt>
          <c:dPt>
            <c:idx val="1"/>
            <c:invertIfNegative val="0"/>
            <c:bubble3D val="0"/>
            <c:spPr>
              <a:solidFill>
                <a:srgbClr val="FFC000"/>
              </a:solidFill>
              <a:ln>
                <a:noFill/>
              </a:ln>
              <a:effectLst>
                <a:innerShdw blurRad="114300">
                  <a:srgbClr val="FFFF00"/>
                </a:innerShdw>
              </a:effectLst>
            </c:spPr>
            <c:extLst>
              <c:ext xmlns:c16="http://schemas.microsoft.com/office/drawing/2014/chart" uri="{C3380CC4-5D6E-409C-BE32-E72D297353CC}">
                <c16:uniqueId val="{00000019-2A25-4B7A-AD6C-EA3F1BB2BADD}"/>
              </c:ext>
            </c:extLst>
          </c:dPt>
          <c:dPt>
            <c:idx val="2"/>
            <c:invertIfNegative val="0"/>
            <c:bubble3D val="0"/>
            <c:spPr>
              <a:solidFill>
                <a:srgbClr val="FFC000"/>
              </a:solidFill>
              <a:ln>
                <a:noFill/>
              </a:ln>
              <a:effectLst>
                <a:innerShdw blurRad="114300">
                  <a:srgbClr val="FFFF00"/>
                </a:innerShdw>
              </a:effectLst>
            </c:spPr>
            <c:extLst>
              <c:ext xmlns:c16="http://schemas.microsoft.com/office/drawing/2014/chart" uri="{C3380CC4-5D6E-409C-BE32-E72D297353CC}">
                <c16:uniqueId val="{0000001A-2A25-4B7A-AD6C-EA3F1BB2BADD}"/>
              </c:ext>
            </c:extLst>
          </c:dPt>
          <c:dPt>
            <c:idx val="3"/>
            <c:invertIfNegative val="0"/>
            <c:bubble3D val="0"/>
            <c:spPr>
              <a:solidFill>
                <a:srgbClr val="FFC000"/>
              </a:solidFill>
              <a:ln>
                <a:noFill/>
              </a:ln>
              <a:effectLst>
                <a:innerShdw blurRad="114300">
                  <a:srgbClr val="FFFF00"/>
                </a:innerShdw>
              </a:effectLst>
            </c:spPr>
            <c:extLst>
              <c:ext xmlns:c16="http://schemas.microsoft.com/office/drawing/2014/chart" uri="{C3380CC4-5D6E-409C-BE32-E72D297353CC}">
                <c16:uniqueId val="{0000001B-2A25-4B7A-AD6C-EA3F1BB2BADD}"/>
              </c:ext>
            </c:extLst>
          </c:dPt>
          <c:dPt>
            <c:idx val="4"/>
            <c:invertIfNegative val="0"/>
            <c:bubble3D val="0"/>
            <c:spPr>
              <a:solidFill>
                <a:srgbClr val="FFC000"/>
              </a:solidFill>
              <a:ln>
                <a:noFill/>
              </a:ln>
              <a:effectLst>
                <a:innerShdw blurRad="114300">
                  <a:srgbClr val="FFFF00"/>
                </a:innerShdw>
              </a:effectLst>
            </c:spPr>
            <c:extLst>
              <c:ext xmlns:c16="http://schemas.microsoft.com/office/drawing/2014/chart" uri="{C3380CC4-5D6E-409C-BE32-E72D297353CC}">
                <c16:uniqueId val="{0000001C-2A25-4B7A-AD6C-EA3F1BB2BADD}"/>
              </c:ext>
            </c:extLst>
          </c:dPt>
          <c:dPt>
            <c:idx val="5"/>
            <c:invertIfNegative val="0"/>
            <c:bubble3D val="0"/>
            <c:spPr>
              <a:solidFill>
                <a:srgbClr val="FFC000"/>
              </a:solidFill>
              <a:ln>
                <a:noFill/>
              </a:ln>
              <a:effectLst>
                <a:innerShdw blurRad="114300">
                  <a:srgbClr val="FFFF00"/>
                </a:innerShdw>
              </a:effectLst>
            </c:spPr>
            <c:extLst>
              <c:ext xmlns:c16="http://schemas.microsoft.com/office/drawing/2014/chart" uri="{C3380CC4-5D6E-409C-BE32-E72D297353CC}">
                <c16:uniqueId val="{0000001D-2A25-4B7A-AD6C-EA3F1BB2BADD}"/>
              </c:ext>
            </c:extLst>
          </c:dPt>
          <c:dPt>
            <c:idx val="6"/>
            <c:invertIfNegative val="0"/>
            <c:bubble3D val="0"/>
            <c:spPr>
              <a:solidFill>
                <a:srgbClr val="FFC000"/>
              </a:solidFill>
              <a:ln>
                <a:noFill/>
              </a:ln>
              <a:effectLst>
                <a:innerShdw blurRad="114300">
                  <a:srgbClr val="FFFF00"/>
                </a:innerShdw>
              </a:effectLst>
            </c:spPr>
            <c:extLst>
              <c:ext xmlns:c16="http://schemas.microsoft.com/office/drawing/2014/chart" uri="{C3380CC4-5D6E-409C-BE32-E72D297353CC}">
                <c16:uniqueId val="{0000001E-2A25-4B7A-AD6C-EA3F1BB2BADD}"/>
              </c:ext>
            </c:extLst>
          </c:dPt>
          <c:dPt>
            <c:idx val="7"/>
            <c:invertIfNegative val="0"/>
            <c:bubble3D val="0"/>
            <c:spPr>
              <a:solidFill>
                <a:srgbClr val="FFC000"/>
              </a:solidFill>
              <a:ln>
                <a:noFill/>
              </a:ln>
              <a:effectLst>
                <a:innerShdw blurRad="114300">
                  <a:srgbClr val="FFFF00"/>
                </a:innerShdw>
              </a:effectLst>
            </c:spPr>
            <c:extLst>
              <c:ext xmlns:c16="http://schemas.microsoft.com/office/drawing/2014/chart" uri="{C3380CC4-5D6E-409C-BE32-E72D297353CC}">
                <c16:uniqueId val="{0000001F-2A25-4B7A-AD6C-EA3F1BB2BADD}"/>
              </c:ext>
            </c:extLst>
          </c:dPt>
          <c:dPt>
            <c:idx val="8"/>
            <c:invertIfNegative val="0"/>
            <c:bubble3D val="0"/>
            <c:spPr>
              <a:solidFill>
                <a:srgbClr val="FFC000"/>
              </a:solidFill>
              <a:ln>
                <a:noFill/>
              </a:ln>
              <a:effectLst>
                <a:innerShdw blurRad="114300">
                  <a:srgbClr val="FFFF00"/>
                </a:innerShdw>
              </a:effectLst>
            </c:spPr>
            <c:extLst>
              <c:ext xmlns:c16="http://schemas.microsoft.com/office/drawing/2014/chart" uri="{C3380CC4-5D6E-409C-BE32-E72D297353CC}">
                <c16:uniqueId val="{00000020-2A25-4B7A-AD6C-EA3F1BB2BADD}"/>
              </c:ext>
            </c:extLst>
          </c:dPt>
          <c:dPt>
            <c:idx val="9"/>
            <c:invertIfNegative val="0"/>
            <c:bubble3D val="0"/>
            <c:spPr>
              <a:solidFill>
                <a:srgbClr val="FFC000"/>
              </a:solidFill>
              <a:ln>
                <a:noFill/>
              </a:ln>
              <a:effectLst>
                <a:innerShdw blurRad="114300">
                  <a:srgbClr val="FFFF00"/>
                </a:innerShdw>
              </a:effectLst>
            </c:spPr>
            <c:extLst>
              <c:ext xmlns:c16="http://schemas.microsoft.com/office/drawing/2014/chart" uri="{C3380CC4-5D6E-409C-BE32-E72D297353CC}">
                <c16:uniqueId val="{00000021-2A25-4B7A-AD6C-EA3F1BB2BADD}"/>
              </c:ext>
            </c:extLst>
          </c:dPt>
          <c:dLbls>
            <c:dLbl>
              <c:idx val="0"/>
              <c:spPr>
                <a:solidFill>
                  <a:srgbClr val="0F9ED5">
                    <a:alpha val="70000"/>
                  </a:srgbClr>
                </a:solidFill>
                <a:ln>
                  <a:solidFill>
                    <a:srgbClr val="FFC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18-2A25-4B7A-AD6C-EA3F1BB2BADD}"/>
                </c:ext>
              </c:extLst>
            </c:dLbl>
            <c:dLbl>
              <c:idx val="1"/>
              <c:spPr>
                <a:solidFill>
                  <a:srgbClr val="0F9ED5">
                    <a:alpha val="70000"/>
                  </a:srgbClr>
                </a:solidFill>
                <a:ln>
                  <a:solidFill>
                    <a:srgbClr val="FFC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19-2A25-4B7A-AD6C-EA3F1BB2BADD}"/>
                </c:ext>
              </c:extLst>
            </c:dLbl>
            <c:dLbl>
              <c:idx val="2"/>
              <c:spPr>
                <a:solidFill>
                  <a:srgbClr val="0F9ED5">
                    <a:alpha val="70000"/>
                  </a:srgbClr>
                </a:solidFill>
                <a:ln>
                  <a:solidFill>
                    <a:srgbClr val="FFC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1A-2A25-4B7A-AD6C-EA3F1BB2BADD}"/>
                </c:ext>
              </c:extLst>
            </c:dLbl>
            <c:dLbl>
              <c:idx val="3"/>
              <c:spPr>
                <a:solidFill>
                  <a:srgbClr val="0F9ED5">
                    <a:alpha val="70000"/>
                  </a:srgbClr>
                </a:solidFill>
                <a:ln>
                  <a:solidFill>
                    <a:srgbClr val="FFC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1B-2A25-4B7A-AD6C-EA3F1BB2BADD}"/>
                </c:ext>
              </c:extLst>
            </c:dLbl>
            <c:dLbl>
              <c:idx val="4"/>
              <c:spPr>
                <a:solidFill>
                  <a:srgbClr val="0F9ED5">
                    <a:alpha val="70000"/>
                  </a:srgbClr>
                </a:solidFill>
                <a:ln>
                  <a:solidFill>
                    <a:srgbClr val="FFC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1C-2A25-4B7A-AD6C-EA3F1BB2BADD}"/>
                </c:ext>
              </c:extLst>
            </c:dLbl>
            <c:dLbl>
              <c:idx val="5"/>
              <c:spPr>
                <a:solidFill>
                  <a:srgbClr val="0F9ED5">
                    <a:alpha val="70000"/>
                  </a:srgbClr>
                </a:solidFill>
                <a:ln>
                  <a:solidFill>
                    <a:srgbClr val="FFC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1D-2A25-4B7A-AD6C-EA3F1BB2BADD}"/>
                </c:ext>
              </c:extLst>
            </c:dLbl>
            <c:dLbl>
              <c:idx val="6"/>
              <c:spPr>
                <a:solidFill>
                  <a:srgbClr val="0F9ED5">
                    <a:alpha val="70000"/>
                  </a:srgbClr>
                </a:solidFill>
                <a:ln>
                  <a:solidFill>
                    <a:srgbClr val="FFC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1E-2A25-4B7A-AD6C-EA3F1BB2BADD}"/>
                </c:ext>
              </c:extLst>
            </c:dLbl>
            <c:dLbl>
              <c:idx val="7"/>
              <c:spPr>
                <a:solidFill>
                  <a:srgbClr val="0F9ED5">
                    <a:alpha val="70000"/>
                  </a:srgbClr>
                </a:solidFill>
                <a:ln>
                  <a:solidFill>
                    <a:srgbClr val="FFC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1F-2A25-4B7A-AD6C-EA3F1BB2BADD}"/>
                </c:ext>
              </c:extLst>
            </c:dLbl>
            <c:dLbl>
              <c:idx val="8"/>
              <c:spPr>
                <a:solidFill>
                  <a:srgbClr val="0F9ED5">
                    <a:alpha val="70000"/>
                  </a:srgbClr>
                </a:solidFill>
                <a:ln>
                  <a:solidFill>
                    <a:srgbClr val="FFC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20-2A25-4B7A-AD6C-EA3F1BB2BADD}"/>
                </c:ext>
              </c:extLst>
            </c:dLbl>
            <c:dLbl>
              <c:idx val="9"/>
              <c:spPr>
                <a:solidFill>
                  <a:srgbClr val="0F9ED5">
                    <a:alpha val="70000"/>
                  </a:srgbClr>
                </a:solidFill>
                <a:ln>
                  <a:solidFill>
                    <a:srgbClr val="FFC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21-2A25-4B7A-AD6C-EA3F1BB2BADD}"/>
                </c:ext>
              </c:extLst>
            </c:dLbl>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4">
                          <a:lumMod val="60000"/>
                          <a:lumOff val="40000"/>
                        </a:schemeClr>
                      </a:solidFill>
                    </a:ln>
                    <a:effectLst/>
                  </c:spPr>
                </c15:leaderLines>
              </c:ext>
            </c:extLst>
          </c:dLbls>
          <c:cat>
            <c:strRef>
              <c:f>Pivots!$A$2:$A$12</c:f>
              <c:strCache>
                <c:ptCount val="10"/>
                <c:pt idx="0">
                  <c:v>Casing</c:v>
                </c:pt>
                <c:pt idx="1">
                  <c:v>Ethernet Cable</c:v>
                </c:pt>
                <c:pt idx="2">
                  <c:v>HDMI Cable</c:v>
                </c:pt>
                <c:pt idx="3">
                  <c:v>Headphones</c:v>
                </c:pt>
                <c:pt idx="4">
                  <c:v>Keyboard</c:v>
                </c:pt>
                <c:pt idx="5">
                  <c:v>Laptop</c:v>
                </c:pt>
                <c:pt idx="6">
                  <c:v>Mobile</c:v>
                </c:pt>
                <c:pt idx="7">
                  <c:v>Mouse</c:v>
                </c:pt>
                <c:pt idx="8">
                  <c:v>Network Switch</c:v>
                </c:pt>
                <c:pt idx="9">
                  <c:v>Router</c:v>
                </c:pt>
              </c:strCache>
            </c:strRef>
          </c:cat>
          <c:val>
            <c:numRef>
              <c:f>Pivots!$B$2:$B$12</c:f>
              <c:numCache>
                <c:formatCode>General</c:formatCode>
                <c:ptCount val="10"/>
                <c:pt idx="0">
                  <c:v>22500</c:v>
                </c:pt>
                <c:pt idx="1">
                  <c:v>7000</c:v>
                </c:pt>
                <c:pt idx="2">
                  <c:v>8000</c:v>
                </c:pt>
                <c:pt idx="3">
                  <c:v>11200</c:v>
                </c:pt>
                <c:pt idx="4">
                  <c:v>12350</c:v>
                </c:pt>
                <c:pt idx="5">
                  <c:v>288000</c:v>
                </c:pt>
                <c:pt idx="6">
                  <c:v>75000</c:v>
                </c:pt>
                <c:pt idx="7">
                  <c:v>10500</c:v>
                </c:pt>
                <c:pt idx="8">
                  <c:v>9600</c:v>
                </c:pt>
                <c:pt idx="9">
                  <c:v>16500</c:v>
                </c:pt>
              </c:numCache>
            </c:numRef>
          </c:val>
          <c:extLst>
            <c:ext xmlns:c16="http://schemas.microsoft.com/office/drawing/2014/chart" uri="{C3380CC4-5D6E-409C-BE32-E72D297353CC}">
              <c16:uniqueId val="{00000017-2A25-4B7A-AD6C-EA3F1BB2BADD}"/>
            </c:ext>
          </c:extLst>
        </c:ser>
        <c:dLbls>
          <c:showLegendKey val="0"/>
          <c:showVal val="0"/>
          <c:showCatName val="0"/>
          <c:showSerName val="0"/>
          <c:showPercent val="0"/>
          <c:showBubbleSize val="0"/>
        </c:dLbls>
        <c:gapWidth val="62"/>
        <c:overlap val="-20"/>
        <c:axId val="1223145791"/>
        <c:axId val="1223147231"/>
      </c:barChart>
      <c:catAx>
        <c:axId val="1223145791"/>
        <c:scaling>
          <c:orientation val="minMax"/>
        </c:scaling>
        <c:delete val="0"/>
        <c:axPos val="b"/>
        <c:numFmt formatCode="General" sourceLinked="1"/>
        <c:majorTickMark val="none"/>
        <c:minorTickMark val="none"/>
        <c:tickLblPos val="nextTo"/>
        <c:spPr>
          <a:noFill/>
          <a:ln w="3175" cap="flat" cmpd="sng" algn="ctr">
            <a:solidFill>
              <a:schemeClr val="accent4">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223147231"/>
        <c:crosses val="autoZero"/>
        <c:auto val="1"/>
        <c:lblAlgn val="ctr"/>
        <c:lblOffset val="100"/>
        <c:noMultiLvlLbl val="0"/>
      </c:catAx>
      <c:valAx>
        <c:axId val="1223147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2314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[it-products-sales-dashboard.xlsx]Pivots!PivotTable7</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w="19050">
            <a:solidFill>
              <a:schemeClr val="accent1"/>
            </a:solidFill>
          </a:ln>
          <a:effectLst>
            <a:innerShdw blurRad="114300">
              <a:srgbClr val="FFFF00"/>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FFC000"/>
          </a:solidFill>
          <a:ln w="19050">
            <a:solidFill>
              <a:schemeClr val="accent1"/>
            </a:solidFill>
          </a:ln>
          <a:effectLst>
            <a:innerShdw blurRad="114300">
              <a:srgbClr val="FFFF00"/>
            </a:innerShdw>
          </a:effectLst>
        </c:spPr>
      </c:pivotFmt>
      <c:pivotFmt>
        <c:idx val="4"/>
        <c:spPr>
          <a:solidFill>
            <a:srgbClr val="FFC000"/>
          </a:solidFill>
          <a:ln w="19050">
            <a:solidFill>
              <a:schemeClr val="accent1"/>
            </a:solidFill>
          </a:ln>
          <a:effectLst>
            <a:innerShdw blurRad="114300">
              <a:srgbClr val="FFFF00"/>
            </a:innerShdw>
          </a:effectLst>
        </c:spPr>
      </c:pivotFmt>
      <c:pivotFmt>
        <c:idx val="5"/>
        <c:spPr>
          <a:solidFill>
            <a:srgbClr val="FFC000"/>
          </a:solidFill>
          <a:ln w="19050">
            <a:solidFill>
              <a:schemeClr val="accent1"/>
            </a:solidFill>
          </a:ln>
          <a:effectLst>
            <a:innerShdw blurRad="114300">
              <a:srgbClr val="FFFF00"/>
            </a:innerShdw>
          </a:effectLst>
        </c:spPr>
      </c:pivotFmt>
      <c:pivotFmt>
        <c:idx val="6"/>
        <c:spPr>
          <a:solidFill>
            <a:srgbClr val="FFC000"/>
          </a:solidFill>
          <a:ln w="19050">
            <a:solidFill>
              <a:schemeClr val="accent1"/>
            </a:solidFill>
          </a:ln>
          <a:effectLst>
            <a:innerShdw blurRad="114300">
              <a:srgbClr val="FFFF00"/>
            </a:innerShdw>
          </a:effectLst>
        </c:spPr>
      </c:pivotFmt>
    </c:pivotFmts>
    <c:plotArea>
      <c:layout/>
      <c:doughnutChart>
        <c:varyColors val="1"/>
        <c:ser>
          <c:idx val="0"/>
          <c:order val="0"/>
          <c:tx>
            <c:strRef>
              <c:f>Pivots!$E$1</c:f>
              <c:strCache>
                <c:ptCount val="1"/>
                <c:pt idx="0">
                  <c:v>Total</c:v>
                </c:pt>
              </c:strCache>
            </c:strRef>
          </c:tx>
          <c:spPr>
            <a:solidFill>
              <a:srgbClr val="FFC000"/>
            </a:solidFill>
            <a:ln w="19050">
              <a:solidFill>
                <a:schemeClr val="accent1"/>
              </a:solidFill>
            </a:ln>
            <a:effectLst>
              <a:innerShdw blurRad="114300">
                <a:srgbClr val="FFFF00"/>
              </a:innerShdw>
            </a:effectLst>
          </c:spPr>
          <c:dPt>
            <c:idx val="0"/>
            <c:bubble3D val="0"/>
            <c:spPr>
              <a:solidFill>
                <a:srgbClr val="FFC000"/>
              </a:solidFill>
              <a:ln w="19050">
                <a:solidFill>
                  <a:schemeClr val="accent1"/>
                </a:solidFill>
              </a:ln>
              <a:effectLst>
                <a:innerShdw blurRad="114300">
                  <a:srgbClr val="FFFF00"/>
                </a:innerShdw>
              </a:effectLst>
            </c:spPr>
            <c:extLst>
              <c:ext xmlns:c16="http://schemas.microsoft.com/office/drawing/2014/chart" uri="{C3380CC4-5D6E-409C-BE32-E72D297353CC}">
                <c16:uniqueId val="{00000001-356A-4E04-95B2-34E5B7CAC1E3}"/>
              </c:ext>
            </c:extLst>
          </c:dPt>
          <c:dPt>
            <c:idx val="1"/>
            <c:bubble3D val="0"/>
            <c:spPr>
              <a:solidFill>
                <a:srgbClr val="FFC000"/>
              </a:solidFill>
              <a:ln w="19050">
                <a:solidFill>
                  <a:schemeClr val="accent1"/>
                </a:solidFill>
              </a:ln>
              <a:effectLst>
                <a:innerShdw blurRad="114300">
                  <a:srgbClr val="FFFF00"/>
                </a:innerShdw>
              </a:effectLst>
            </c:spPr>
            <c:extLst>
              <c:ext xmlns:c16="http://schemas.microsoft.com/office/drawing/2014/chart" uri="{C3380CC4-5D6E-409C-BE32-E72D297353CC}">
                <c16:uniqueId val="{00000003-356A-4E04-95B2-34E5B7CAC1E3}"/>
              </c:ext>
            </c:extLst>
          </c:dPt>
          <c:dPt>
            <c:idx val="2"/>
            <c:bubble3D val="0"/>
            <c:spPr>
              <a:solidFill>
                <a:srgbClr val="FFC000"/>
              </a:solidFill>
              <a:ln w="19050">
                <a:solidFill>
                  <a:schemeClr val="accent1"/>
                </a:solidFill>
              </a:ln>
              <a:effectLst>
                <a:innerShdw blurRad="114300">
                  <a:srgbClr val="FFFF00"/>
                </a:innerShdw>
              </a:effectLst>
            </c:spPr>
            <c:extLst>
              <c:ext xmlns:c16="http://schemas.microsoft.com/office/drawing/2014/chart" uri="{C3380CC4-5D6E-409C-BE32-E72D297353CC}">
                <c16:uniqueId val="{00000005-356A-4E04-95B2-34E5B7CAC1E3}"/>
              </c:ext>
            </c:extLst>
          </c:dPt>
          <c:dPt>
            <c:idx val="3"/>
            <c:bubble3D val="0"/>
            <c:spPr>
              <a:solidFill>
                <a:srgbClr val="FFC000"/>
              </a:solidFill>
              <a:ln w="19050">
                <a:solidFill>
                  <a:schemeClr val="accent1"/>
                </a:solidFill>
              </a:ln>
              <a:effectLst>
                <a:innerShdw blurRad="114300">
                  <a:srgbClr val="FFFF00"/>
                </a:innerShdw>
              </a:effectLst>
            </c:spPr>
            <c:extLst>
              <c:ext xmlns:c16="http://schemas.microsoft.com/office/drawing/2014/chart" uri="{C3380CC4-5D6E-409C-BE32-E72D297353CC}">
                <c16:uniqueId val="{00000007-356A-4E04-95B2-34E5B7CAC1E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Pivots!$D$2:$D$6</c:f>
              <c:strCache>
                <c:ptCount val="4"/>
                <c:pt idx="0">
                  <c:v>East</c:v>
                </c:pt>
                <c:pt idx="1">
                  <c:v>North</c:v>
                </c:pt>
                <c:pt idx="2">
                  <c:v>South</c:v>
                </c:pt>
                <c:pt idx="3">
                  <c:v>West</c:v>
                </c:pt>
              </c:strCache>
            </c:strRef>
          </c:cat>
          <c:val>
            <c:numRef>
              <c:f>Pivots!$E$2:$E$6</c:f>
              <c:numCache>
                <c:formatCode>General</c:formatCode>
                <c:ptCount val="4"/>
                <c:pt idx="0">
                  <c:v>44700</c:v>
                </c:pt>
                <c:pt idx="1">
                  <c:v>97500</c:v>
                </c:pt>
                <c:pt idx="2">
                  <c:v>277400</c:v>
                </c:pt>
                <c:pt idx="3">
                  <c:v>41050</c:v>
                </c:pt>
              </c:numCache>
            </c:numRef>
          </c:val>
          <c:extLst>
            <c:ext xmlns:c16="http://schemas.microsoft.com/office/drawing/2014/chart" uri="{C3380CC4-5D6E-409C-BE32-E72D297353CC}">
              <c16:uniqueId val="{00000004-CC33-4F5A-B7B3-5AADE69D2963}"/>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47625</xdr:colOff>
      <xdr:row>11</xdr:row>
      <xdr:rowOff>171450</xdr:rowOff>
    </xdr:from>
    <xdr:to>
      <xdr:col>7</xdr:col>
      <xdr:colOff>552450</xdr:colOff>
      <xdr:row>25</xdr:row>
      <xdr:rowOff>171450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854B029A-25EC-BA26-DC97-610AD062616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381500" y="22669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419100</xdr:colOff>
      <xdr:row>11</xdr:row>
      <xdr:rowOff>171450</xdr:rowOff>
    </xdr:from>
    <xdr:to>
      <xdr:col>5</xdr:col>
      <xdr:colOff>28575</xdr:colOff>
      <xdr:row>25</xdr:row>
      <xdr:rowOff>171450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E9D1159-C45D-141D-598D-D608024A7AC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33650" y="22669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600075</xdr:colOff>
      <xdr:row>11</xdr:row>
      <xdr:rowOff>180975</xdr:rowOff>
    </xdr:from>
    <xdr:to>
      <xdr:col>9</xdr:col>
      <xdr:colOff>1028700</xdr:colOff>
      <xdr:row>25</xdr:row>
      <xdr:rowOff>180975</xdr:rowOff>
    </xdr:to>
    <mc:AlternateContent xmlns:mc="http://schemas.openxmlformats.org/markup-compatibility/2006" xmlns:a14="http://schemas.microsoft.com/office/drawing/2010/main">
      <mc:Choice Requires="a14">
        <xdr:graphicFrame macro="">
          <xdr:nvGraphicFramePr>
            <xdr:cNvPr id="8" name="Product Name">
              <a:extLst>
                <a:ext uri="{FF2B5EF4-FFF2-40B4-BE49-F238E27FC236}">
                  <a16:creationId xmlns:a16="http://schemas.microsoft.com/office/drawing/2014/main" id="{74F3B29D-BBB5-5B43-7E19-32D8EDF843E9}"/>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6257925" y="22764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9525</xdr:colOff>
      <xdr:row>11</xdr:row>
      <xdr:rowOff>171450</xdr:rowOff>
    </xdr:from>
    <xdr:to>
      <xdr:col>11</xdr:col>
      <xdr:colOff>800100</xdr:colOff>
      <xdr:row>25</xdr:row>
      <xdr:rowOff>171450</xdr:rowOff>
    </xdr:to>
    <mc:AlternateContent xmlns:mc="http://schemas.openxmlformats.org/markup-compatibility/2006" xmlns:a14="http://schemas.microsoft.com/office/drawing/2010/main">
      <mc:Choice Requires="a14">
        <xdr:graphicFrame macro="">
          <xdr:nvGraphicFramePr>
            <xdr:cNvPr id="9" name="Customer Name">
              <a:extLst>
                <a:ext uri="{FF2B5EF4-FFF2-40B4-BE49-F238E27FC236}">
                  <a16:creationId xmlns:a16="http://schemas.microsoft.com/office/drawing/2014/main" id="{EA4A636A-94CE-120E-845D-C6BAF294D1FB}"/>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8181975" y="22669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857250</xdr:colOff>
      <xdr:row>11</xdr:row>
      <xdr:rowOff>180975</xdr:rowOff>
    </xdr:from>
    <xdr:to>
      <xdr:col>14</xdr:col>
      <xdr:colOff>114300</xdr:colOff>
      <xdr:row>25</xdr:row>
      <xdr:rowOff>180975</xdr:rowOff>
    </xdr:to>
    <mc:AlternateContent xmlns:mc="http://schemas.openxmlformats.org/markup-compatibility/2006" xmlns:a14="http://schemas.microsoft.com/office/drawing/2010/main">
      <mc:Choice Requires="a14">
        <xdr:graphicFrame macro="">
          <xdr:nvGraphicFramePr>
            <xdr:cNvPr id="10" name="Store Name">
              <a:extLst>
                <a:ext uri="{FF2B5EF4-FFF2-40B4-BE49-F238E27FC236}">
                  <a16:creationId xmlns:a16="http://schemas.microsoft.com/office/drawing/2014/main" id="{B61FA2CC-3848-527C-507B-22565DE0421C}"/>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mlns="">
        <xdr:sp macro="" textlink="">
          <xdr:nvSpPr>
            <xdr:cNvPr id="0" name=""/>
            <xdr:cNvSpPr>
              <a:spLocks noTextEdit="1"/>
            </xdr:cNvSpPr>
          </xdr:nvSpPr>
          <xdr:spPr>
            <a:xfrm>
              <a:off x="10067925" y="22764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0</xdr:row>
      <xdr:rowOff>57150</xdr:rowOff>
    </xdr:from>
    <xdr:to>
      <xdr:col>3</xdr:col>
      <xdr:colOff>590550</xdr:colOff>
      <xdr:row>3</xdr:row>
      <xdr:rowOff>161925</xdr:rowOff>
    </xdr:to>
    <xdr:sp macro="" textlink="">
      <xdr:nvSpPr>
        <xdr:cNvPr id="2" name="Rectangle: Rounded Corners 1">
          <a:extLst>
            <a:ext uri="{FF2B5EF4-FFF2-40B4-BE49-F238E27FC236}">
              <a16:creationId xmlns:a16="http://schemas.microsoft.com/office/drawing/2014/main" id="{FE3B3460-6DDE-D345-C075-ED81661E990E}"/>
            </a:ext>
          </a:extLst>
        </xdr:cNvPr>
        <xdr:cNvSpPr/>
      </xdr:nvSpPr>
      <xdr:spPr>
        <a:xfrm>
          <a:off x="66675" y="57150"/>
          <a:ext cx="2352675" cy="676275"/>
        </a:xfrm>
        <a:prstGeom prst="roundRect">
          <a:avLst>
            <a:gd name="adj" fmla="val 3991"/>
          </a:avLst>
        </a:prstGeom>
        <a:ln>
          <a:solidFill>
            <a:schemeClr val="tx1"/>
          </a:solidFill>
        </a:ln>
        <a:effectLst>
          <a:outerShdw blurRad="63500" sx="102000" sy="102000" algn="ctr" rotWithShape="0">
            <a:prstClr val="black">
              <a:alpha val="40000"/>
            </a:prstClr>
          </a:outerShdw>
          <a:softEdge rad="12700"/>
        </a:effectLst>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76200</xdr:colOff>
      <xdr:row>0</xdr:row>
      <xdr:rowOff>57150</xdr:rowOff>
    </xdr:from>
    <xdr:to>
      <xdr:col>15</xdr:col>
      <xdr:colOff>542925</xdr:colOff>
      <xdr:row>3</xdr:row>
      <xdr:rowOff>161925</xdr:rowOff>
    </xdr:to>
    <xdr:sp macro="" textlink="">
      <xdr:nvSpPr>
        <xdr:cNvPr id="4" name="Rectangle: Rounded Corners 3">
          <a:extLst>
            <a:ext uri="{FF2B5EF4-FFF2-40B4-BE49-F238E27FC236}">
              <a16:creationId xmlns:a16="http://schemas.microsoft.com/office/drawing/2014/main" id="{484DE594-F4EF-45D2-8507-EF4C0613D824}"/>
            </a:ext>
          </a:extLst>
        </xdr:cNvPr>
        <xdr:cNvSpPr/>
      </xdr:nvSpPr>
      <xdr:spPr>
        <a:xfrm>
          <a:off x="2514600" y="57150"/>
          <a:ext cx="7172325" cy="676275"/>
        </a:xfrm>
        <a:prstGeom prst="roundRect">
          <a:avLst>
            <a:gd name="adj" fmla="val 6808"/>
          </a:avLst>
        </a:prstGeom>
        <a:ln>
          <a:solidFill>
            <a:schemeClr val="tx1"/>
          </a:solidFill>
        </a:ln>
        <a:effectLst>
          <a:outerShdw blurRad="63500" sx="102000" sy="102000" algn="ctr" rotWithShape="0">
            <a:prstClr val="black">
              <a:alpha val="40000"/>
            </a:prstClr>
          </a:outerShdw>
          <a:softEdge rad="12700"/>
        </a:effectLst>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28574</xdr:colOff>
      <xdr:row>0</xdr:row>
      <xdr:rowOff>57150</xdr:rowOff>
    </xdr:from>
    <xdr:to>
      <xdr:col>23</xdr:col>
      <xdr:colOff>457199</xdr:colOff>
      <xdr:row>3</xdr:row>
      <xdr:rowOff>161925</xdr:rowOff>
    </xdr:to>
    <xdr:sp macro="" textlink="">
      <xdr:nvSpPr>
        <xdr:cNvPr id="5" name="Rectangle: Rounded Corners 4">
          <a:extLst>
            <a:ext uri="{FF2B5EF4-FFF2-40B4-BE49-F238E27FC236}">
              <a16:creationId xmlns:a16="http://schemas.microsoft.com/office/drawing/2014/main" id="{E1DBA118-BD10-4D5B-8371-BD1579BF59C4}"/>
            </a:ext>
          </a:extLst>
        </xdr:cNvPr>
        <xdr:cNvSpPr/>
      </xdr:nvSpPr>
      <xdr:spPr>
        <a:xfrm>
          <a:off x="9782174" y="57150"/>
          <a:ext cx="4695825" cy="676275"/>
        </a:xfrm>
        <a:prstGeom prst="roundRect">
          <a:avLst>
            <a:gd name="adj" fmla="val 6808"/>
          </a:avLst>
        </a:prstGeom>
        <a:ln>
          <a:solidFill>
            <a:schemeClr val="tx1"/>
          </a:solidFill>
        </a:ln>
        <a:effectLst>
          <a:outerShdw blurRad="63500" sx="102000" sy="102000" algn="ctr" rotWithShape="0">
            <a:prstClr val="black">
              <a:alpha val="40000"/>
            </a:prstClr>
          </a:outerShdw>
          <a:softEdge rad="12700"/>
        </a:effectLst>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66675</xdr:colOff>
      <xdr:row>4</xdr:row>
      <xdr:rowOff>52387</xdr:rowOff>
    </xdr:from>
    <xdr:to>
      <xdr:col>3</xdr:col>
      <xdr:colOff>590550</xdr:colOff>
      <xdr:row>29</xdr:row>
      <xdr:rowOff>52387</xdr:rowOff>
    </xdr:to>
    <xdr:sp macro="" textlink="">
      <xdr:nvSpPr>
        <xdr:cNvPr id="6" name="Rectangle: Rounded Corners 5">
          <a:extLst>
            <a:ext uri="{FF2B5EF4-FFF2-40B4-BE49-F238E27FC236}">
              <a16:creationId xmlns:a16="http://schemas.microsoft.com/office/drawing/2014/main" id="{8D2B4D89-EAE2-4518-A493-EC2738A8E95C}"/>
            </a:ext>
          </a:extLst>
        </xdr:cNvPr>
        <xdr:cNvSpPr/>
      </xdr:nvSpPr>
      <xdr:spPr>
        <a:xfrm>
          <a:off x="66675" y="814387"/>
          <a:ext cx="2352675" cy="4762500"/>
        </a:xfrm>
        <a:prstGeom prst="roundRect">
          <a:avLst>
            <a:gd name="adj" fmla="val 1282"/>
          </a:avLst>
        </a:prstGeom>
        <a:ln>
          <a:solidFill>
            <a:schemeClr val="tx1"/>
          </a:solidFill>
        </a:ln>
        <a:effectLst>
          <a:outerShdw blurRad="63500" sx="102000" sy="102000" algn="ctr" rotWithShape="0">
            <a:prstClr val="black">
              <a:alpha val="40000"/>
            </a:prstClr>
          </a:outerShdw>
          <a:softEdge rad="12700"/>
        </a:effectLst>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66675</xdr:colOff>
      <xdr:row>29</xdr:row>
      <xdr:rowOff>123825</xdr:rowOff>
    </xdr:from>
    <xdr:to>
      <xdr:col>3</xdr:col>
      <xdr:colOff>590550</xdr:colOff>
      <xdr:row>34</xdr:row>
      <xdr:rowOff>152400</xdr:rowOff>
    </xdr:to>
    <xdr:sp macro="" textlink="">
      <xdr:nvSpPr>
        <xdr:cNvPr id="7" name="Rectangle: Rounded Corners 6">
          <a:extLst>
            <a:ext uri="{FF2B5EF4-FFF2-40B4-BE49-F238E27FC236}">
              <a16:creationId xmlns:a16="http://schemas.microsoft.com/office/drawing/2014/main" id="{3BFC36CE-C675-4676-B44B-54996D69F00B}"/>
            </a:ext>
          </a:extLst>
        </xdr:cNvPr>
        <xdr:cNvSpPr/>
      </xdr:nvSpPr>
      <xdr:spPr>
        <a:xfrm>
          <a:off x="66675" y="5648325"/>
          <a:ext cx="2352675" cy="981075"/>
        </a:xfrm>
        <a:prstGeom prst="roundRect">
          <a:avLst>
            <a:gd name="adj" fmla="val 5399"/>
          </a:avLst>
        </a:prstGeom>
        <a:ln>
          <a:solidFill>
            <a:schemeClr val="tx1"/>
          </a:solidFill>
        </a:ln>
        <a:effectLst>
          <a:outerShdw blurRad="63500" sx="102000" sy="102000" algn="ctr" rotWithShape="0">
            <a:prstClr val="black">
              <a:alpha val="40000"/>
            </a:prstClr>
          </a:outerShdw>
          <a:softEdge rad="12700"/>
        </a:effectLst>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95250</xdr:colOff>
      <xdr:row>4</xdr:row>
      <xdr:rowOff>47624</xdr:rowOff>
    </xdr:from>
    <xdr:to>
      <xdr:col>17</xdr:col>
      <xdr:colOff>19050</xdr:colOff>
      <xdr:row>34</xdr:row>
      <xdr:rowOff>133349</xdr:rowOff>
    </xdr:to>
    <xdr:sp macro="" textlink="">
      <xdr:nvSpPr>
        <xdr:cNvPr id="8" name="Rectangle: Rounded Corners 7">
          <a:extLst>
            <a:ext uri="{FF2B5EF4-FFF2-40B4-BE49-F238E27FC236}">
              <a16:creationId xmlns:a16="http://schemas.microsoft.com/office/drawing/2014/main" id="{2A8EBD30-4358-47E4-B3CA-72E8F0DF49DD}"/>
            </a:ext>
          </a:extLst>
        </xdr:cNvPr>
        <xdr:cNvSpPr/>
      </xdr:nvSpPr>
      <xdr:spPr>
        <a:xfrm>
          <a:off x="4972050" y="809624"/>
          <a:ext cx="5410200" cy="5800725"/>
        </a:xfrm>
        <a:prstGeom prst="roundRect">
          <a:avLst>
            <a:gd name="adj" fmla="val 881"/>
          </a:avLst>
        </a:prstGeom>
        <a:ln>
          <a:solidFill>
            <a:schemeClr val="tx1"/>
          </a:solidFill>
        </a:ln>
        <a:effectLst>
          <a:outerShdw blurRad="63500" sx="102000" sy="102000" algn="ctr" rotWithShape="0">
            <a:prstClr val="black">
              <a:alpha val="40000"/>
            </a:prstClr>
          </a:outerShdw>
          <a:softEdge rad="12700"/>
        </a:effectLst>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76200</xdr:colOff>
      <xdr:row>4</xdr:row>
      <xdr:rowOff>46037</xdr:rowOff>
    </xdr:from>
    <xdr:to>
      <xdr:col>7</xdr:col>
      <xdr:colOff>600075</xdr:colOff>
      <xdr:row>9</xdr:row>
      <xdr:rowOff>7937</xdr:rowOff>
    </xdr:to>
    <xdr:sp macro="" textlink="">
      <xdr:nvSpPr>
        <xdr:cNvPr id="9" name="Rectangle: Rounded Corners 8">
          <a:extLst>
            <a:ext uri="{FF2B5EF4-FFF2-40B4-BE49-F238E27FC236}">
              <a16:creationId xmlns:a16="http://schemas.microsoft.com/office/drawing/2014/main" id="{E3CEF8B1-2919-4DC1-878C-647DDE87D77A}"/>
            </a:ext>
          </a:extLst>
        </xdr:cNvPr>
        <xdr:cNvSpPr/>
      </xdr:nvSpPr>
      <xdr:spPr>
        <a:xfrm>
          <a:off x="2514600" y="808037"/>
          <a:ext cx="2352675" cy="914400"/>
        </a:xfrm>
        <a:prstGeom prst="roundRect">
          <a:avLst>
            <a:gd name="adj" fmla="val 5399"/>
          </a:avLst>
        </a:prstGeom>
        <a:ln>
          <a:solidFill>
            <a:schemeClr val="tx1"/>
          </a:solidFill>
        </a:ln>
        <a:effectLst>
          <a:outerShdw blurRad="63500" sx="102000" sy="102000" algn="ctr" rotWithShape="0">
            <a:prstClr val="black">
              <a:alpha val="40000"/>
            </a:prstClr>
          </a:outerShdw>
          <a:softEdge rad="12700"/>
        </a:effectLst>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a:t>
          </a:r>
        </a:p>
      </xdr:txBody>
    </xdr:sp>
    <xdr:clientData/>
  </xdr:twoCellAnchor>
  <xdr:twoCellAnchor>
    <xdr:from>
      <xdr:col>4</xdr:col>
      <xdr:colOff>85725</xdr:colOff>
      <xdr:row>9</xdr:row>
      <xdr:rowOff>75802</xdr:rowOff>
    </xdr:from>
    <xdr:to>
      <xdr:col>8</xdr:col>
      <xdr:colOff>0</xdr:colOff>
      <xdr:row>14</xdr:row>
      <xdr:rowOff>37702</xdr:rowOff>
    </xdr:to>
    <xdr:sp macro="" textlink="">
      <xdr:nvSpPr>
        <xdr:cNvPr id="11" name="Rectangle: Rounded Corners 10">
          <a:extLst>
            <a:ext uri="{FF2B5EF4-FFF2-40B4-BE49-F238E27FC236}">
              <a16:creationId xmlns:a16="http://schemas.microsoft.com/office/drawing/2014/main" id="{76BE52BB-6CBF-8297-DB9F-5BB8537C80C5}"/>
            </a:ext>
          </a:extLst>
        </xdr:cNvPr>
        <xdr:cNvSpPr/>
      </xdr:nvSpPr>
      <xdr:spPr>
        <a:xfrm>
          <a:off x="2524125" y="1790302"/>
          <a:ext cx="2352675" cy="914400"/>
        </a:xfrm>
        <a:prstGeom prst="roundRect">
          <a:avLst>
            <a:gd name="adj" fmla="val 5399"/>
          </a:avLst>
        </a:prstGeom>
        <a:ln>
          <a:solidFill>
            <a:schemeClr val="tx1"/>
          </a:solidFill>
        </a:ln>
        <a:effectLst>
          <a:outerShdw blurRad="63500" sx="102000" sy="102000" algn="ctr" rotWithShape="0">
            <a:prstClr val="black">
              <a:alpha val="40000"/>
            </a:prstClr>
          </a:outerShdw>
          <a:softEdge rad="12700"/>
        </a:effectLst>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85725</xdr:colOff>
      <xdr:row>14</xdr:row>
      <xdr:rowOff>105567</xdr:rowOff>
    </xdr:from>
    <xdr:to>
      <xdr:col>8</xdr:col>
      <xdr:colOff>0</xdr:colOff>
      <xdr:row>19</xdr:row>
      <xdr:rowOff>67467</xdr:rowOff>
    </xdr:to>
    <xdr:sp macro="" textlink="">
      <xdr:nvSpPr>
        <xdr:cNvPr id="12" name="Rectangle: Rounded Corners 11">
          <a:extLst>
            <a:ext uri="{FF2B5EF4-FFF2-40B4-BE49-F238E27FC236}">
              <a16:creationId xmlns:a16="http://schemas.microsoft.com/office/drawing/2014/main" id="{BEC5EB0E-CEF5-2D32-DE7B-9F79E9EB087A}"/>
            </a:ext>
          </a:extLst>
        </xdr:cNvPr>
        <xdr:cNvSpPr/>
      </xdr:nvSpPr>
      <xdr:spPr>
        <a:xfrm>
          <a:off x="2524125" y="2772567"/>
          <a:ext cx="2352675" cy="914400"/>
        </a:xfrm>
        <a:prstGeom prst="roundRect">
          <a:avLst>
            <a:gd name="adj" fmla="val 5399"/>
          </a:avLst>
        </a:prstGeom>
        <a:ln>
          <a:solidFill>
            <a:schemeClr val="tx1"/>
          </a:solidFill>
        </a:ln>
        <a:effectLst>
          <a:outerShdw blurRad="63500" sx="102000" sy="102000" algn="ctr" rotWithShape="0">
            <a:prstClr val="black">
              <a:alpha val="40000"/>
            </a:prstClr>
          </a:outerShdw>
          <a:softEdge rad="12700"/>
        </a:effectLst>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85725</xdr:colOff>
      <xdr:row>19</xdr:row>
      <xdr:rowOff>135332</xdr:rowOff>
    </xdr:from>
    <xdr:to>
      <xdr:col>8</xdr:col>
      <xdr:colOff>0</xdr:colOff>
      <xdr:row>26</xdr:row>
      <xdr:rowOff>170259</xdr:rowOff>
    </xdr:to>
    <xdr:sp macro="" textlink="">
      <xdr:nvSpPr>
        <xdr:cNvPr id="13" name="Rectangle: Rounded Corners 12">
          <a:extLst>
            <a:ext uri="{FF2B5EF4-FFF2-40B4-BE49-F238E27FC236}">
              <a16:creationId xmlns:a16="http://schemas.microsoft.com/office/drawing/2014/main" id="{E0B6EE0E-13B8-D9A0-2CA5-B9F2E8EB36D8}"/>
            </a:ext>
          </a:extLst>
        </xdr:cNvPr>
        <xdr:cNvSpPr/>
      </xdr:nvSpPr>
      <xdr:spPr>
        <a:xfrm>
          <a:off x="2524125" y="3754832"/>
          <a:ext cx="2352675" cy="1368427"/>
        </a:xfrm>
        <a:prstGeom prst="roundRect">
          <a:avLst>
            <a:gd name="adj" fmla="val 5399"/>
          </a:avLst>
        </a:prstGeom>
        <a:ln>
          <a:solidFill>
            <a:schemeClr val="tx1"/>
          </a:solidFill>
        </a:ln>
        <a:effectLst>
          <a:outerShdw blurRad="63500" sx="102000" sy="102000" algn="ctr" rotWithShape="0">
            <a:prstClr val="black">
              <a:alpha val="40000"/>
            </a:prstClr>
          </a:outerShdw>
          <a:softEdge rad="12700"/>
        </a:effectLst>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76200</xdr:colOff>
      <xdr:row>27</xdr:row>
      <xdr:rowOff>47624</xdr:rowOff>
    </xdr:from>
    <xdr:to>
      <xdr:col>7</xdr:col>
      <xdr:colOff>600075</xdr:colOff>
      <xdr:row>34</xdr:row>
      <xdr:rowOff>133349</xdr:rowOff>
    </xdr:to>
    <xdr:sp macro="" textlink="">
      <xdr:nvSpPr>
        <xdr:cNvPr id="14" name="Rectangle: Rounded Corners 13">
          <a:extLst>
            <a:ext uri="{FF2B5EF4-FFF2-40B4-BE49-F238E27FC236}">
              <a16:creationId xmlns:a16="http://schemas.microsoft.com/office/drawing/2014/main" id="{FF74C209-CC5F-BEA0-EBEC-3712149810BA}"/>
            </a:ext>
          </a:extLst>
        </xdr:cNvPr>
        <xdr:cNvSpPr/>
      </xdr:nvSpPr>
      <xdr:spPr>
        <a:xfrm>
          <a:off x="2514600" y="5191124"/>
          <a:ext cx="2352675" cy="1419225"/>
        </a:xfrm>
        <a:prstGeom prst="roundRect">
          <a:avLst>
            <a:gd name="adj" fmla="val 3377"/>
          </a:avLst>
        </a:prstGeom>
        <a:ln>
          <a:solidFill>
            <a:schemeClr val="tx1"/>
          </a:solidFill>
        </a:ln>
        <a:effectLst>
          <a:outerShdw blurRad="63500" sx="102000" sy="102000" algn="ctr" rotWithShape="0">
            <a:prstClr val="black">
              <a:alpha val="40000"/>
            </a:prstClr>
          </a:outerShdw>
          <a:softEdge rad="12700"/>
        </a:effectLst>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95250</xdr:colOff>
      <xdr:row>4</xdr:row>
      <xdr:rowOff>47624</xdr:rowOff>
    </xdr:from>
    <xdr:to>
      <xdr:col>23</xdr:col>
      <xdr:colOff>466725</xdr:colOff>
      <xdr:row>34</xdr:row>
      <xdr:rowOff>133349</xdr:rowOff>
    </xdr:to>
    <xdr:sp macro="" textlink="">
      <xdr:nvSpPr>
        <xdr:cNvPr id="21" name="Rectangle: Rounded Corners 20">
          <a:extLst>
            <a:ext uri="{FF2B5EF4-FFF2-40B4-BE49-F238E27FC236}">
              <a16:creationId xmlns:a16="http://schemas.microsoft.com/office/drawing/2014/main" id="{8B4FECE3-6171-F27D-556A-0D79AD0F54EF}"/>
            </a:ext>
          </a:extLst>
        </xdr:cNvPr>
        <xdr:cNvSpPr/>
      </xdr:nvSpPr>
      <xdr:spPr>
        <a:xfrm>
          <a:off x="10458450" y="809624"/>
          <a:ext cx="4029075" cy="5800725"/>
        </a:xfrm>
        <a:prstGeom prst="roundRect">
          <a:avLst>
            <a:gd name="adj" fmla="val 881"/>
          </a:avLst>
        </a:prstGeom>
        <a:ln>
          <a:solidFill>
            <a:schemeClr val="tx1"/>
          </a:solidFill>
        </a:ln>
        <a:effectLst>
          <a:outerShdw blurRad="63500" sx="102000" sy="102000" algn="ctr" rotWithShape="0">
            <a:prstClr val="black">
              <a:alpha val="40000"/>
            </a:prstClr>
          </a:outerShdw>
          <a:softEdge rad="12700"/>
        </a:effectLst>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390525</xdr:colOff>
      <xdr:row>0</xdr:row>
      <xdr:rowOff>171450</xdr:rowOff>
    </xdr:from>
    <xdr:to>
      <xdr:col>3</xdr:col>
      <xdr:colOff>152400</xdr:colOff>
      <xdr:row>3</xdr:row>
      <xdr:rowOff>28687</xdr:rowOff>
    </xdr:to>
    <xdr:pic>
      <xdr:nvPicPr>
        <xdr:cNvPr id="22" name="Picture 21">
          <a:extLst>
            <a:ext uri="{FF2B5EF4-FFF2-40B4-BE49-F238E27FC236}">
              <a16:creationId xmlns:a16="http://schemas.microsoft.com/office/drawing/2014/main" id="{C5CB79DC-3979-BF67-12AE-718B13C2428E}"/>
            </a:ext>
          </a:extLst>
        </xdr:cNvPr>
        <xdr:cNvPicPr>
          <a:picLocks noChangeAspect="1"/>
        </xdr:cNvPicPr>
      </xdr:nvPicPr>
      <xdr:blipFill>
        <a:blip xmlns:r="http://schemas.openxmlformats.org/officeDocument/2006/relationships" r:embed="rId1"/>
        <a:stretch>
          <a:fillRect/>
        </a:stretch>
      </xdr:blipFill>
      <xdr:spPr>
        <a:xfrm>
          <a:off x="390525" y="171450"/>
          <a:ext cx="1590675" cy="428737"/>
        </a:xfrm>
        <a:prstGeom prst="rect">
          <a:avLst/>
        </a:prstGeom>
      </xdr:spPr>
    </xdr:pic>
    <xdr:clientData/>
  </xdr:twoCellAnchor>
  <xdr:twoCellAnchor>
    <xdr:from>
      <xdr:col>16</xdr:col>
      <xdr:colOff>152400</xdr:colOff>
      <xdr:row>1</xdr:row>
      <xdr:rowOff>28576</xdr:rowOff>
    </xdr:from>
    <xdr:to>
      <xdr:col>17</xdr:col>
      <xdr:colOff>523875</xdr:colOff>
      <xdr:row>2</xdr:row>
      <xdr:rowOff>114300</xdr:rowOff>
    </xdr:to>
    <xdr:sp macro="" textlink="">
      <xdr:nvSpPr>
        <xdr:cNvPr id="23" name="TextBox 22">
          <a:extLst>
            <a:ext uri="{FF2B5EF4-FFF2-40B4-BE49-F238E27FC236}">
              <a16:creationId xmlns:a16="http://schemas.microsoft.com/office/drawing/2014/main" id="{0CABA112-6E70-B7D3-051D-96541039F366}"/>
            </a:ext>
          </a:extLst>
        </xdr:cNvPr>
        <xdr:cNvSpPr txBox="1"/>
      </xdr:nvSpPr>
      <xdr:spPr>
        <a:xfrm>
          <a:off x="9906000" y="219076"/>
          <a:ext cx="981075"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cap="none" spc="50">
              <a:ln w="0"/>
              <a:solidFill>
                <a:schemeClr val="bg2"/>
              </a:solidFill>
              <a:effectLst>
                <a:innerShdw blurRad="63500" dist="50800" dir="13500000">
                  <a:srgbClr val="000000">
                    <a:alpha val="50000"/>
                  </a:srgbClr>
                </a:innerShdw>
              </a:effectLst>
            </a:rPr>
            <a:t>Designed By</a:t>
          </a:r>
        </a:p>
      </xdr:txBody>
    </xdr:sp>
    <xdr:clientData/>
  </xdr:twoCellAnchor>
  <xdr:twoCellAnchor>
    <xdr:from>
      <xdr:col>18</xdr:col>
      <xdr:colOff>47625</xdr:colOff>
      <xdr:row>0</xdr:row>
      <xdr:rowOff>133350</xdr:rowOff>
    </xdr:from>
    <xdr:to>
      <xdr:col>23</xdr:col>
      <xdr:colOff>333375</xdr:colOff>
      <xdr:row>3</xdr:row>
      <xdr:rowOff>57150</xdr:rowOff>
    </xdr:to>
    <xdr:sp macro="" textlink="">
      <xdr:nvSpPr>
        <xdr:cNvPr id="24" name="TextBox 23">
          <a:extLst>
            <a:ext uri="{FF2B5EF4-FFF2-40B4-BE49-F238E27FC236}">
              <a16:creationId xmlns:a16="http://schemas.microsoft.com/office/drawing/2014/main" id="{CAF4F958-9C7B-80C0-DDF8-EF3F4D0C3F62}"/>
            </a:ext>
          </a:extLst>
        </xdr:cNvPr>
        <xdr:cNvSpPr txBox="1"/>
      </xdr:nvSpPr>
      <xdr:spPr>
        <a:xfrm>
          <a:off x="11020425" y="133350"/>
          <a:ext cx="3333750" cy="495300"/>
        </a:xfrm>
        <a:prstGeom prst="round2DiagRect">
          <a:avLst/>
        </a:prstGeom>
        <a:solidFill>
          <a:srgbClr val="FFC000"/>
        </a:solidFill>
        <a:ln w="9525" cmpd="sng">
          <a:solidFill>
            <a:schemeClr val="lt1">
              <a:shade val="50000"/>
            </a:schemeClr>
          </a:solidFill>
        </a:ln>
        <a:effectLst>
          <a:innerShdw blurRad="114300">
            <a:srgbClr val="FFFF00"/>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ln>
                <a:noFill/>
              </a:ln>
              <a:effectLst>
                <a:innerShdw blurRad="114300">
                  <a:prstClr val="black"/>
                </a:innerShdw>
              </a:effectLst>
            </a:rPr>
            <a:t>Mohammed Faisal Fardin Chowdhury</a:t>
          </a:r>
          <a:br>
            <a:rPr lang="en-US" sz="1100" b="1">
              <a:ln>
                <a:noFill/>
              </a:ln>
              <a:effectLst>
                <a:innerShdw blurRad="114300">
                  <a:prstClr val="black"/>
                </a:innerShdw>
              </a:effectLst>
            </a:rPr>
          </a:br>
          <a:r>
            <a:rPr lang="en-US" sz="1000" b="0" i="1">
              <a:ln>
                <a:noFill/>
              </a:ln>
              <a:effectLst>
                <a:innerShdw blurRad="114300">
                  <a:prstClr val="black"/>
                </a:innerShdw>
              </a:effectLst>
            </a:rPr>
            <a:t>B.Sc. in CSE, IIUC</a:t>
          </a:r>
          <a:endParaRPr lang="en-US" sz="1100" b="0" i="1">
            <a:ln>
              <a:noFill/>
            </a:ln>
            <a:effectLst>
              <a:innerShdw blurRad="114300">
                <a:prstClr val="black"/>
              </a:innerShdw>
            </a:effectLst>
          </a:endParaRPr>
        </a:p>
      </xdr:txBody>
    </xdr:sp>
    <xdr:clientData/>
  </xdr:twoCellAnchor>
  <xdr:twoCellAnchor>
    <xdr:from>
      <xdr:col>4</xdr:col>
      <xdr:colOff>76200</xdr:colOff>
      <xdr:row>0</xdr:row>
      <xdr:rowOff>57150</xdr:rowOff>
    </xdr:from>
    <xdr:to>
      <xdr:col>15</xdr:col>
      <xdr:colOff>533400</xdr:colOff>
      <xdr:row>3</xdr:row>
      <xdr:rowOff>95250</xdr:rowOff>
    </xdr:to>
    <xdr:sp macro="" textlink="">
      <xdr:nvSpPr>
        <xdr:cNvPr id="26" name="TextBox 25">
          <a:extLst>
            <a:ext uri="{FF2B5EF4-FFF2-40B4-BE49-F238E27FC236}">
              <a16:creationId xmlns:a16="http://schemas.microsoft.com/office/drawing/2014/main" id="{5B4FC88E-411E-4187-8E9B-0FAB758DFEBA}"/>
            </a:ext>
          </a:extLst>
        </xdr:cNvPr>
        <xdr:cNvSpPr txBox="1"/>
      </xdr:nvSpPr>
      <xdr:spPr>
        <a:xfrm>
          <a:off x="2514600" y="57150"/>
          <a:ext cx="71628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cap="none" spc="0">
              <a:ln w="0">
                <a:solidFill>
                  <a:sysClr val="windowText" lastClr="000000"/>
                </a:solidFill>
              </a:ln>
              <a:solidFill>
                <a:srgbClr val="FFCC00"/>
              </a:solidFill>
              <a:effectLst>
                <a:outerShdw blurRad="38100" dist="19050" dir="2700000" algn="tl" rotWithShape="0">
                  <a:schemeClr val="dk1">
                    <a:alpha val="40000"/>
                  </a:schemeClr>
                </a:outerShdw>
              </a:effectLst>
              <a:latin typeface="Impact" panose="020B0806030902050204" pitchFamily="34" charset="0"/>
            </a:rPr>
            <a:t>IT Products</a:t>
          </a:r>
          <a:r>
            <a:rPr lang="en-US" sz="2400" b="0" cap="none" spc="0" baseline="0">
              <a:ln w="0">
                <a:solidFill>
                  <a:sysClr val="windowText" lastClr="000000"/>
                </a:solidFill>
              </a:ln>
              <a:solidFill>
                <a:srgbClr val="FFCC00"/>
              </a:solidFill>
              <a:effectLst>
                <a:outerShdw blurRad="38100" dist="19050" dir="2700000" algn="tl" rotWithShape="0">
                  <a:schemeClr val="dk1">
                    <a:alpha val="40000"/>
                  </a:schemeClr>
                </a:outerShdw>
              </a:effectLst>
              <a:latin typeface="Impact" panose="020B0806030902050204" pitchFamily="34" charset="0"/>
            </a:rPr>
            <a:t> Sales Dashboard</a:t>
          </a:r>
          <a:endParaRPr lang="en-US" sz="2400" b="0" cap="none" spc="0">
            <a:ln w="0">
              <a:solidFill>
                <a:sysClr val="windowText" lastClr="000000"/>
              </a:solidFill>
            </a:ln>
            <a:solidFill>
              <a:srgbClr val="FFCC00"/>
            </a:solidFill>
            <a:effectLst>
              <a:outerShdw blurRad="38100" dist="19050" dir="2700000" algn="tl" rotWithShape="0">
                <a:schemeClr val="dk1">
                  <a:alpha val="40000"/>
                </a:schemeClr>
              </a:outerShdw>
            </a:effectLst>
            <a:latin typeface="Impact" panose="020B0806030902050204" pitchFamily="34" charset="0"/>
          </a:endParaRPr>
        </a:p>
      </xdr:txBody>
    </xdr:sp>
    <xdr:clientData/>
  </xdr:twoCellAnchor>
  <xdr:twoCellAnchor>
    <xdr:from>
      <xdr:col>8</xdr:col>
      <xdr:colOff>161925</xdr:colOff>
      <xdr:row>4</xdr:row>
      <xdr:rowOff>123824</xdr:rowOff>
    </xdr:from>
    <xdr:to>
      <xdr:col>16</xdr:col>
      <xdr:colOff>552450</xdr:colOff>
      <xdr:row>34</xdr:row>
      <xdr:rowOff>66675</xdr:rowOff>
    </xdr:to>
    <xdr:graphicFrame macro="">
      <xdr:nvGraphicFramePr>
        <xdr:cNvPr id="27" name="Chart 26">
          <a:extLst>
            <a:ext uri="{FF2B5EF4-FFF2-40B4-BE49-F238E27FC236}">
              <a16:creationId xmlns:a16="http://schemas.microsoft.com/office/drawing/2014/main" id="{D51CB68E-91AC-4D74-BD10-27C96D17D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161925</xdr:colOff>
      <xdr:row>4</xdr:row>
      <xdr:rowOff>114299</xdr:rowOff>
    </xdr:from>
    <xdr:to>
      <xdr:col>23</xdr:col>
      <xdr:colOff>381001</xdr:colOff>
      <xdr:row>34</xdr:row>
      <xdr:rowOff>66674</xdr:rowOff>
    </xdr:to>
    <xdr:graphicFrame macro="">
      <xdr:nvGraphicFramePr>
        <xdr:cNvPr id="28" name="Chart 27">
          <a:extLst>
            <a:ext uri="{FF2B5EF4-FFF2-40B4-BE49-F238E27FC236}">
              <a16:creationId xmlns:a16="http://schemas.microsoft.com/office/drawing/2014/main" id="{6D05E9D6-9222-4DF2-8EB6-2EAA7AE49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76200</xdr:colOff>
      <xdr:row>4</xdr:row>
      <xdr:rowOff>46037</xdr:rowOff>
    </xdr:from>
    <xdr:to>
      <xdr:col>5</xdr:col>
      <xdr:colOff>219075</xdr:colOff>
      <xdr:row>7</xdr:row>
      <xdr:rowOff>26987</xdr:rowOff>
    </xdr:to>
    <xdr:sp macro="" textlink="">
      <xdr:nvSpPr>
        <xdr:cNvPr id="30" name="TextBox 29">
          <a:extLst>
            <a:ext uri="{FF2B5EF4-FFF2-40B4-BE49-F238E27FC236}">
              <a16:creationId xmlns:a16="http://schemas.microsoft.com/office/drawing/2014/main" id="{88ECB5FF-3713-9BA7-8265-8867D87590EF}"/>
            </a:ext>
          </a:extLst>
        </xdr:cNvPr>
        <xdr:cNvSpPr txBox="1"/>
      </xdr:nvSpPr>
      <xdr:spPr>
        <a:xfrm>
          <a:off x="2514600" y="808037"/>
          <a:ext cx="75247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bg1"/>
              </a:solidFill>
              <a:latin typeface="Bahnschrift SemiBold" panose="020B0502040204020203" pitchFamily="34" charset="0"/>
            </a:rPr>
            <a:t>Total Sales</a:t>
          </a:r>
        </a:p>
      </xdr:txBody>
    </xdr:sp>
    <xdr:clientData/>
  </xdr:twoCellAnchor>
  <xdr:twoCellAnchor>
    <xdr:from>
      <xdr:col>4</xdr:col>
      <xdr:colOff>76200</xdr:colOff>
      <xdr:row>9</xdr:row>
      <xdr:rowOff>73024</xdr:rowOff>
    </xdr:from>
    <xdr:to>
      <xdr:col>5</xdr:col>
      <xdr:colOff>219075</xdr:colOff>
      <xdr:row>12</xdr:row>
      <xdr:rowOff>53974</xdr:rowOff>
    </xdr:to>
    <xdr:sp macro="" textlink="">
      <xdr:nvSpPr>
        <xdr:cNvPr id="31" name="TextBox 30">
          <a:extLst>
            <a:ext uri="{FF2B5EF4-FFF2-40B4-BE49-F238E27FC236}">
              <a16:creationId xmlns:a16="http://schemas.microsoft.com/office/drawing/2014/main" id="{538415FE-7063-79C2-394C-E4161273E4FA}"/>
            </a:ext>
          </a:extLst>
        </xdr:cNvPr>
        <xdr:cNvSpPr txBox="1"/>
      </xdr:nvSpPr>
      <xdr:spPr>
        <a:xfrm>
          <a:off x="2514600" y="1787524"/>
          <a:ext cx="75247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bg1"/>
              </a:solidFill>
              <a:latin typeface="Bahnschrift SemiBold" panose="020B0502040204020203" pitchFamily="34" charset="0"/>
            </a:rPr>
            <a:t>Total Cost</a:t>
          </a:r>
        </a:p>
      </xdr:txBody>
    </xdr:sp>
    <xdr:clientData/>
  </xdr:twoCellAnchor>
  <xdr:twoCellAnchor>
    <xdr:from>
      <xdr:col>4</xdr:col>
      <xdr:colOff>76200</xdr:colOff>
      <xdr:row>14</xdr:row>
      <xdr:rowOff>100011</xdr:rowOff>
    </xdr:from>
    <xdr:to>
      <xdr:col>5</xdr:col>
      <xdr:colOff>219075</xdr:colOff>
      <xdr:row>17</xdr:row>
      <xdr:rowOff>80961</xdr:rowOff>
    </xdr:to>
    <xdr:sp macro="" textlink="">
      <xdr:nvSpPr>
        <xdr:cNvPr id="32" name="TextBox 31">
          <a:extLst>
            <a:ext uri="{FF2B5EF4-FFF2-40B4-BE49-F238E27FC236}">
              <a16:creationId xmlns:a16="http://schemas.microsoft.com/office/drawing/2014/main" id="{17FD0ECE-0AD1-1F7B-F17C-7E97E62D01CF}"/>
            </a:ext>
          </a:extLst>
        </xdr:cNvPr>
        <xdr:cNvSpPr txBox="1"/>
      </xdr:nvSpPr>
      <xdr:spPr>
        <a:xfrm>
          <a:off x="2514600" y="2767011"/>
          <a:ext cx="75247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bg1"/>
              </a:solidFill>
              <a:latin typeface="Bahnschrift SemiBold" panose="020B0502040204020203" pitchFamily="34" charset="0"/>
            </a:rPr>
            <a:t>Total Profit</a:t>
          </a:r>
        </a:p>
      </xdr:txBody>
    </xdr:sp>
    <xdr:clientData/>
  </xdr:twoCellAnchor>
  <xdr:twoCellAnchor>
    <xdr:from>
      <xdr:col>4</xdr:col>
      <xdr:colOff>76200</xdr:colOff>
      <xdr:row>19</xdr:row>
      <xdr:rowOff>126997</xdr:rowOff>
    </xdr:from>
    <xdr:to>
      <xdr:col>6</xdr:col>
      <xdr:colOff>9525</xdr:colOff>
      <xdr:row>22</xdr:row>
      <xdr:rowOff>107947</xdr:rowOff>
    </xdr:to>
    <xdr:sp macro="" textlink="">
      <xdr:nvSpPr>
        <xdr:cNvPr id="33" name="TextBox 32">
          <a:extLst>
            <a:ext uri="{FF2B5EF4-FFF2-40B4-BE49-F238E27FC236}">
              <a16:creationId xmlns:a16="http://schemas.microsoft.com/office/drawing/2014/main" id="{053FDCA7-5412-536D-F54D-277145F9AFBD}"/>
            </a:ext>
          </a:extLst>
        </xdr:cNvPr>
        <xdr:cNvSpPr txBox="1"/>
      </xdr:nvSpPr>
      <xdr:spPr>
        <a:xfrm>
          <a:off x="2514600" y="3746497"/>
          <a:ext cx="115252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bg1"/>
              </a:solidFill>
              <a:latin typeface="Bahnschrift SemiBold" panose="020B0502040204020203" pitchFamily="34" charset="0"/>
            </a:rPr>
            <a:t>Profit</a:t>
          </a:r>
          <a:br>
            <a:rPr lang="en-US" sz="1400" b="1" baseline="0">
              <a:solidFill>
                <a:schemeClr val="bg1"/>
              </a:solidFill>
              <a:latin typeface="Bahnschrift SemiBold" panose="020B0502040204020203" pitchFamily="34" charset="0"/>
            </a:rPr>
          </a:br>
          <a:r>
            <a:rPr lang="en-US" sz="1400" b="1" baseline="0">
              <a:solidFill>
                <a:schemeClr val="bg1"/>
              </a:solidFill>
              <a:latin typeface="Bahnschrift SemiBold" panose="020B0502040204020203" pitchFamily="34" charset="0"/>
            </a:rPr>
            <a:t>Percentage</a:t>
          </a:r>
          <a:endParaRPr lang="en-US" sz="1400" b="1">
            <a:solidFill>
              <a:schemeClr val="bg1"/>
            </a:solidFill>
            <a:latin typeface="Bahnschrift SemiBold" panose="020B0502040204020203" pitchFamily="34" charset="0"/>
          </a:endParaRPr>
        </a:p>
      </xdr:txBody>
    </xdr:sp>
    <xdr:clientData/>
  </xdr:twoCellAnchor>
  <xdr:twoCellAnchor>
    <xdr:from>
      <xdr:col>4</xdr:col>
      <xdr:colOff>76200</xdr:colOff>
      <xdr:row>27</xdr:row>
      <xdr:rowOff>47624</xdr:rowOff>
    </xdr:from>
    <xdr:to>
      <xdr:col>6</xdr:col>
      <xdr:colOff>57150</xdr:colOff>
      <xdr:row>32</xdr:row>
      <xdr:rowOff>47940</xdr:rowOff>
    </xdr:to>
    <xdr:sp macro="" textlink="">
      <xdr:nvSpPr>
        <xdr:cNvPr id="34" name="TextBox 33">
          <a:extLst>
            <a:ext uri="{FF2B5EF4-FFF2-40B4-BE49-F238E27FC236}">
              <a16:creationId xmlns:a16="http://schemas.microsoft.com/office/drawing/2014/main" id="{F5580A62-5DCB-972B-91DA-DE7757AF8022}"/>
            </a:ext>
          </a:extLst>
        </xdr:cNvPr>
        <xdr:cNvSpPr txBox="1"/>
      </xdr:nvSpPr>
      <xdr:spPr>
        <a:xfrm>
          <a:off x="2514600" y="5191124"/>
          <a:ext cx="1200150" cy="952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chemeClr val="bg1"/>
              </a:solidFill>
              <a:latin typeface="Bahnschrift SemiBold" panose="020B0502040204020203" pitchFamily="34" charset="0"/>
            </a:rPr>
            <a:t>Total</a:t>
          </a:r>
          <a:r>
            <a:rPr lang="en-US" sz="1400" b="1" baseline="0">
              <a:solidFill>
                <a:schemeClr val="bg1"/>
              </a:solidFill>
              <a:latin typeface="Bahnschrift SemiBold" panose="020B0502040204020203" pitchFamily="34" charset="0"/>
            </a:rPr>
            <a:t> Product Sold</a:t>
          </a:r>
          <a:endParaRPr lang="en-US" sz="1400" b="1">
            <a:solidFill>
              <a:schemeClr val="bg1"/>
            </a:solidFill>
            <a:latin typeface="Bahnschrift SemiBold" panose="020B0502040204020203" pitchFamily="34" charset="0"/>
          </a:endParaRPr>
        </a:p>
      </xdr:txBody>
    </xdr:sp>
    <xdr:clientData/>
  </xdr:twoCellAnchor>
  <xdr:twoCellAnchor>
    <xdr:from>
      <xdr:col>0</xdr:col>
      <xdr:colOff>333375</xdr:colOff>
      <xdr:row>29</xdr:row>
      <xdr:rowOff>123825</xdr:rowOff>
    </xdr:from>
    <xdr:to>
      <xdr:col>3</xdr:col>
      <xdr:colOff>323850</xdr:colOff>
      <xdr:row>31</xdr:row>
      <xdr:rowOff>47625</xdr:rowOff>
    </xdr:to>
    <xdr:sp macro="" textlink="">
      <xdr:nvSpPr>
        <xdr:cNvPr id="38" name="TextBox 37">
          <a:extLst>
            <a:ext uri="{FF2B5EF4-FFF2-40B4-BE49-F238E27FC236}">
              <a16:creationId xmlns:a16="http://schemas.microsoft.com/office/drawing/2014/main" id="{6B7A5697-B371-CC46-A8A8-AD11DF8A8F93}"/>
            </a:ext>
          </a:extLst>
        </xdr:cNvPr>
        <xdr:cNvSpPr txBox="1"/>
      </xdr:nvSpPr>
      <xdr:spPr>
        <a:xfrm>
          <a:off x="333375" y="5648325"/>
          <a:ext cx="18192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1">
              <a:solidFill>
                <a:schemeClr val="bg1"/>
              </a:solidFill>
              <a:latin typeface="Bahnschrift SemiBold" panose="020B0502040204020203" pitchFamily="34" charset="0"/>
            </a:rPr>
            <a:t>Date of Updates</a:t>
          </a:r>
        </a:p>
      </xdr:txBody>
    </xdr:sp>
    <xdr:clientData/>
  </xdr:twoCellAnchor>
  <xdr:twoCellAnchor>
    <xdr:from>
      <xdr:col>0</xdr:col>
      <xdr:colOff>333375</xdr:colOff>
      <xdr:row>31</xdr:row>
      <xdr:rowOff>80962</xdr:rowOff>
    </xdr:from>
    <xdr:to>
      <xdr:col>3</xdr:col>
      <xdr:colOff>323850</xdr:colOff>
      <xdr:row>33</xdr:row>
      <xdr:rowOff>4762</xdr:rowOff>
    </xdr:to>
    <xdr:sp macro="" textlink="">
      <xdr:nvSpPr>
        <xdr:cNvPr id="39" name="TextBox 38">
          <a:extLst>
            <a:ext uri="{FF2B5EF4-FFF2-40B4-BE49-F238E27FC236}">
              <a16:creationId xmlns:a16="http://schemas.microsoft.com/office/drawing/2014/main" id="{1E204056-4F89-4DD0-6126-C1CCCCF64CCC}"/>
            </a:ext>
          </a:extLst>
        </xdr:cNvPr>
        <xdr:cNvSpPr txBox="1"/>
      </xdr:nvSpPr>
      <xdr:spPr>
        <a:xfrm>
          <a:off x="333375" y="5986462"/>
          <a:ext cx="1819275" cy="30480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ysClr val="windowText" lastClr="000000"/>
              </a:solidFill>
              <a:latin typeface="Bahnschrift SemiBold" panose="020B0502040204020203" pitchFamily="34" charset="0"/>
            </a:rPr>
            <a:t>19/10/2026</a:t>
          </a:r>
        </a:p>
      </xdr:txBody>
    </xdr:sp>
    <xdr:clientData/>
  </xdr:twoCellAnchor>
  <xdr:twoCellAnchor>
    <xdr:from>
      <xdr:col>5</xdr:col>
      <xdr:colOff>542925</xdr:colOff>
      <xdr:row>5</xdr:row>
      <xdr:rowOff>150812</xdr:rowOff>
    </xdr:from>
    <xdr:to>
      <xdr:col>7</xdr:col>
      <xdr:colOff>600075</xdr:colOff>
      <xdr:row>7</xdr:row>
      <xdr:rowOff>93662</xdr:rowOff>
    </xdr:to>
    <xdr:sp macro="" textlink="Pivots!G5">
      <xdr:nvSpPr>
        <xdr:cNvPr id="42" name="TextBox 41">
          <a:extLst>
            <a:ext uri="{FF2B5EF4-FFF2-40B4-BE49-F238E27FC236}">
              <a16:creationId xmlns:a16="http://schemas.microsoft.com/office/drawing/2014/main" id="{7F668C6E-FB83-FE85-C60B-FA3828BD53CA}"/>
            </a:ext>
          </a:extLst>
        </xdr:cNvPr>
        <xdr:cNvSpPr txBox="1"/>
      </xdr:nvSpPr>
      <xdr:spPr>
        <a:xfrm>
          <a:off x="3590925" y="1103312"/>
          <a:ext cx="12763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FCF4B49-FC76-400A-9431-FF27E053DC4E}" type="TxLink">
            <a:rPr lang="en-US" sz="2800" b="1" i="0" u="none" strike="noStrike" cap="none" spc="0">
              <a:ln w="0"/>
              <a:solidFill>
                <a:srgbClr val="FFCC00"/>
              </a:solidFill>
              <a:effectLst>
                <a:outerShdw blurRad="38100" dist="19050" dir="2700000" algn="tl" rotWithShape="0">
                  <a:schemeClr val="dk1">
                    <a:alpha val="40000"/>
                  </a:schemeClr>
                </a:outerShdw>
              </a:effectLst>
              <a:latin typeface="Aptos Narrow"/>
            </a:rPr>
            <a:pPr algn="l"/>
            <a:t>460650</a:t>
          </a:fld>
          <a:endParaRPr lang="en-US" sz="2800" b="1" cap="none" spc="0">
            <a:ln w="0"/>
            <a:solidFill>
              <a:srgbClr val="FFCC00"/>
            </a:solidFill>
            <a:effectLst>
              <a:outerShdw blurRad="38100" dist="19050" dir="2700000" algn="tl" rotWithShape="0">
                <a:schemeClr val="dk1">
                  <a:alpha val="40000"/>
                </a:schemeClr>
              </a:outerShdw>
            </a:effectLst>
          </a:endParaRPr>
        </a:p>
      </xdr:txBody>
    </xdr:sp>
    <xdr:clientData/>
  </xdr:twoCellAnchor>
  <xdr:twoCellAnchor>
    <xdr:from>
      <xdr:col>5</xdr:col>
      <xdr:colOff>552450</xdr:colOff>
      <xdr:row>10</xdr:row>
      <xdr:rowOff>177799</xdr:rowOff>
    </xdr:from>
    <xdr:to>
      <xdr:col>8</xdr:col>
      <xdr:colOff>0</xdr:colOff>
      <xdr:row>12</xdr:row>
      <xdr:rowOff>120649</xdr:rowOff>
    </xdr:to>
    <xdr:sp macro="" textlink="Pivots!H5">
      <xdr:nvSpPr>
        <xdr:cNvPr id="43" name="TextBox 42">
          <a:extLst>
            <a:ext uri="{FF2B5EF4-FFF2-40B4-BE49-F238E27FC236}">
              <a16:creationId xmlns:a16="http://schemas.microsoft.com/office/drawing/2014/main" id="{DA7B64CA-FCB0-44E5-849E-6A01BB560FAD}"/>
            </a:ext>
          </a:extLst>
        </xdr:cNvPr>
        <xdr:cNvSpPr txBox="1"/>
      </xdr:nvSpPr>
      <xdr:spPr>
        <a:xfrm>
          <a:off x="3600450" y="2082799"/>
          <a:ext cx="12763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4CC590B-CFD1-407B-9567-F934A89EEB76}" type="TxLink">
            <a:rPr lang="en-US" sz="2800" b="1" i="0" u="none" strike="noStrike" cap="none" spc="0">
              <a:ln w="0"/>
              <a:solidFill>
                <a:srgbClr val="FFCC00"/>
              </a:solidFill>
              <a:effectLst>
                <a:outerShdw blurRad="38100" dist="19050" dir="2700000" algn="tl" rotWithShape="0">
                  <a:schemeClr val="dk1">
                    <a:alpha val="40000"/>
                  </a:schemeClr>
                </a:outerShdw>
              </a:effectLst>
              <a:latin typeface="Aptos Narrow"/>
            </a:rPr>
            <a:pPr algn="l"/>
            <a:t>372400</a:t>
          </a:fld>
          <a:endParaRPr lang="en-US" sz="6000" b="1" cap="none" spc="0">
            <a:ln w="0"/>
            <a:solidFill>
              <a:srgbClr val="FFCC00"/>
            </a:solidFill>
            <a:effectLst>
              <a:outerShdw blurRad="38100" dist="19050" dir="2700000" algn="tl" rotWithShape="0">
                <a:schemeClr val="dk1">
                  <a:alpha val="40000"/>
                </a:schemeClr>
              </a:outerShdw>
            </a:effectLst>
          </a:endParaRPr>
        </a:p>
      </xdr:txBody>
    </xdr:sp>
    <xdr:clientData/>
  </xdr:twoCellAnchor>
  <xdr:twoCellAnchor>
    <xdr:from>
      <xdr:col>5</xdr:col>
      <xdr:colOff>552450</xdr:colOff>
      <xdr:row>16</xdr:row>
      <xdr:rowOff>52387</xdr:rowOff>
    </xdr:from>
    <xdr:to>
      <xdr:col>8</xdr:col>
      <xdr:colOff>0</xdr:colOff>
      <xdr:row>17</xdr:row>
      <xdr:rowOff>185737</xdr:rowOff>
    </xdr:to>
    <xdr:sp macro="" textlink="Pivots!I5">
      <xdr:nvSpPr>
        <xdr:cNvPr id="44" name="TextBox 43">
          <a:extLst>
            <a:ext uri="{FF2B5EF4-FFF2-40B4-BE49-F238E27FC236}">
              <a16:creationId xmlns:a16="http://schemas.microsoft.com/office/drawing/2014/main" id="{D5EDE146-3A6C-4042-A28B-86925670FE6C}"/>
            </a:ext>
          </a:extLst>
        </xdr:cNvPr>
        <xdr:cNvSpPr txBox="1"/>
      </xdr:nvSpPr>
      <xdr:spPr>
        <a:xfrm>
          <a:off x="3600450" y="3100387"/>
          <a:ext cx="12763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A23A09-C115-42AF-A11E-02B29CE40668}" type="TxLink">
            <a:rPr lang="en-US" sz="2800" b="1" i="0" u="none" strike="noStrike" cap="none" spc="0">
              <a:ln w="0"/>
              <a:solidFill>
                <a:srgbClr val="FFCC00"/>
              </a:solidFill>
              <a:effectLst>
                <a:outerShdw blurRad="38100" dist="19050" dir="2700000" algn="tl" rotWithShape="0">
                  <a:schemeClr val="dk1">
                    <a:alpha val="40000"/>
                  </a:schemeClr>
                </a:outerShdw>
              </a:effectLst>
              <a:latin typeface="Aptos Narrow"/>
            </a:rPr>
            <a:pPr algn="ctr"/>
            <a:t>88250</a:t>
          </a:fld>
          <a:endParaRPr lang="en-US" sz="6000" b="1" cap="none" spc="0">
            <a:ln w="0"/>
            <a:solidFill>
              <a:srgbClr val="FFCC00"/>
            </a:solidFill>
            <a:effectLst>
              <a:outerShdw blurRad="38100" dist="19050" dir="2700000" algn="tl" rotWithShape="0">
                <a:schemeClr val="dk1">
                  <a:alpha val="40000"/>
                </a:schemeClr>
              </a:outerShdw>
            </a:effectLst>
          </a:endParaRPr>
        </a:p>
      </xdr:txBody>
    </xdr:sp>
    <xdr:clientData/>
  </xdr:twoCellAnchor>
  <xdr:twoCellAnchor>
    <xdr:from>
      <xdr:col>5</xdr:col>
      <xdr:colOff>552450</xdr:colOff>
      <xdr:row>22</xdr:row>
      <xdr:rowOff>86120</xdr:rowOff>
    </xdr:from>
    <xdr:to>
      <xdr:col>8</xdr:col>
      <xdr:colOff>0</xdr:colOff>
      <xdr:row>24</xdr:row>
      <xdr:rowOff>28970</xdr:rowOff>
    </xdr:to>
    <xdr:sp macro="" textlink="Pivots!J5">
      <xdr:nvSpPr>
        <xdr:cNvPr id="45" name="TextBox 44">
          <a:extLst>
            <a:ext uri="{FF2B5EF4-FFF2-40B4-BE49-F238E27FC236}">
              <a16:creationId xmlns:a16="http://schemas.microsoft.com/office/drawing/2014/main" id="{A2F0F971-9125-4D48-BC01-45656B0E8FA1}"/>
            </a:ext>
          </a:extLst>
        </xdr:cNvPr>
        <xdr:cNvSpPr txBox="1"/>
      </xdr:nvSpPr>
      <xdr:spPr>
        <a:xfrm>
          <a:off x="3600450" y="4277120"/>
          <a:ext cx="12763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8F640C7-D4AC-433C-9F16-FF80F729AC0E}" type="TxLink">
            <a:rPr lang="en-US" sz="2800" b="1" i="0" u="none" strike="noStrike" cap="none" spc="0">
              <a:ln w="0"/>
              <a:solidFill>
                <a:srgbClr val="FFCC00"/>
              </a:solidFill>
              <a:effectLst>
                <a:outerShdw blurRad="38100" dist="19050" dir="2700000" algn="tl" rotWithShape="0">
                  <a:schemeClr val="dk1">
                    <a:alpha val="40000"/>
                  </a:schemeClr>
                </a:outerShdw>
              </a:effectLst>
              <a:latin typeface="Aptos Narrow"/>
            </a:rPr>
            <a:pPr algn="l"/>
            <a:t>19.16%</a:t>
          </a:fld>
          <a:endParaRPr lang="en-US" sz="6000" b="1" cap="none" spc="0">
            <a:ln w="0"/>
            <a:solidFill>
              <a:srgbClr val="FFCC00"/>
            </a:solidFill>
            <a:effectLst>
              <a:outerShdw blurRad="38100" dist="19050" dir="2700000" algn="tl" rotWithShape="0">
                <a:schemeClr val="dk1">
                  <a:alpha val="40000"/>
                </a:schemeClr>
              </a:outerShdw>
            </a:effectLst>
          </a:endParaRPr>
        </a:p>
      </xdr:txBody>
    </xdr:sp>
    <xdr:clientData/>
  </xdr:twoCellAnchor>
  <xdr:twoCellAnchor>
    <xdr:from>
      <xdr:col>5</xdr:col>
      <xdr:colOff>542925</xdr:colOff>
      <xdr:row>30</xdr:row>
      <xdr:rowOff>23811</xdr:rowOff>
    </xdr:from>
    <xdr:to>
      <xdr:col>7</xdr:col>
      <xdr:colOff>600075</xdr:colOff>
      <xdr:row>31</xdr:row>
      <xdr:rowOff>157161</xdr:rowOff>
    </xdr:to>
    <xdr:sp macro="" textlink="Pivots!K5">
      <xdr:nvSpPr>
        <xdr:cNvPr id="46" name="TextBox 45">
          <a:extLst>
            <a:ext uri="{FF2B5EF4-FFF2-40B4-BE49-F238E27FC236}">
              <a16:creationId xmlns:a16="http://schemas.microsoft.com/office/drawing/2014/main" id="{E1F4D8DE-948B-4AE4-B990-EDF817D47D32}"/>
            </a:ext>
          </a:extLst>
        </xdr:cNvPr>
        <xdr:cNvSpPr txBox="1"/>
      </xdr:nvSpPr>
      <xdr:spPr>
        <a:xfrm>
          <a:off x="3590925" y="5738811"/>
          <a:ext cx="12763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96ECF0-B230-47A7-A2FC-7E6C3F1D3617}" type="TxLink">
            <a:rPr lang="en-US" sz="2800" b="1" i="0" u="none" strike="noStrike" cap="none" spc="0">
              <a:ln w="0"/>
              <a:solidFill>
                <a:srgbClr val="FFCC00"/>
              </a:solidFill>
              <a:effectLst>
                <a:outerShdw blurRad="38100" dist="19050" dir="2700000" algn="tl" rotWithShape="0">
                  <a:schemeClr val="dk1">
                    <a:alpha val="40000"/>
                  </a:schemeClr>
                </a:outerShdw>
              </a:effectLst>
              <a:latin typeface="Aptos Narrow"/>
            </a:rPr>
            <a:pPr algn="ctr"/>
            <a:t>98</a:t>
          </a:fld>
          <a:endParaRPr lang="en-US" sz="6000" b="1" cap="none" spc="0">
            <a:ln w="0"/>
            <a:solidFill>
              <a:srgbClr val="FFCC00"/>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177166</xdr:colOff>
      <xdr:row>10</xdr:row>
      <xdr:rowOff>56356</xdr:rowOff>
    </xdr:from>
    <xdr:to>
      <xdr:col>3</xdr:col>
      <xdr:colOff>451486</xdr:colOff>
      <xdr:row>15</xdr:row>
      <xdr:rowOff>73025</xdr:rowOff>
    </xdr:to>
    <mc:AlternateContent xmlns:mc="http://schemas.openxmlformats.org/markup-compatibility/2006" xmlns:a14="http://schemas.microsoft.com/office/drawing/2010/main">
      <mc:Choice Requires="a14">
        <xdr:graphicFrame macro="">
          <xdr:nvGraphicFramePr>
            <xdr:cNvPr id="48" name="Category 1">
              <a:extLst>
                <a:ext uri="{FF2B5EF4-FFF2-40B4-BE49-F238E27FC236}">
                  <a16:creationId xmlns:a16="http://schemas.microsoft.com/office/drawing/2014/main" id="{ECBF4417-39E7-489B-9544-CCC80F44746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7166" y="1961356"/>
              <a:ext cx="2103120" cy="9691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176213</xdr:colOff>
      <xdr:row>4</xdr:row>
      <xdr:rowOff>176212</xdr:rowOff>
    </xdr:from>
    <xdr:to>
      <xdr:col>3</xdr:col>
      <xdr:colOff>452439</xdr:colOff>
      <xdr:row>10</xdr:row>
      <xdr:rowOff>9525</xdr:rowOff>
    </xdr:to>
    <mc:AlternateContent xmlns:mc="http://schemas.openxmlformats.org/markup-compatibility/2006" xmlns:a14="http://schemas.microsoft.com/office/drawing/2010/main">
      <mc:Choice Requires="a14">
        <xdr:graphicFrame macro="">
          <xdr:nvGraphicFramePr>
            <xdr:cNvPr id="49" name="Region 1">
              <a:extLst>
                <a:ext uri="{FF2B5EF4-FFF2-40B4-BE49-F238E27FC236}">
                  <a16:creationId xmlns:a16="http://schemas.microsoft.com/office/drawing/2014/main" id="{246D35CB-628C-4C1F-A177-00570C19CD5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6213" y="938212"/>
              <a:ext cx="2105026" cy="976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176214</xdr:colOff>
      <xdr:row>15</xdr:row>
      <xdr:rowOff>119856</xdr:rowOff>
    </xdr:from>
    <xdr:to>
      <xdr:col>3</xdr:col>
      <xdr:colOff>452438</xdr:colOff>
      <xdr:row>21</xdr:row>
      <xdr:rowOff>81755</xdr:rowOff>
    </xdr:to>
    <mc:AlternateContent xmlns:mc="http://schemas.openxmlformats.org/markup-compatibility/2006" xmlns:a14="http://schemas.microsoft.com/office/drawing/2010/main">
      <mc:Choice Requires="a14">
        <xdr:graphicFrame macro="">
          <xdr:nvGraphicFramePr>
            <xdr:cNvPr id="50" name="Customer Name 1">
              <a:extLst>
                <a:ext uri="{FF2B5EF4-FFF2-40B4-BE49-F238E27FC236}">
                  <a16:creationId xmlns:a16="http://schemas.microsoft.com/office/drawing/2014/main" id="{737B483F-0238-4ECC-AF08-7BDB6746D008}"/>
                </a:ext>
              </a:extLst>
            </xdr:cNvPr>
            <xdr:cNvGraphicFramePr/>
          </xdr:nvGraphicFramePr>
          <xdr:xfrm>
            <a:off x="0" y="0"/>
            <a:ext cx="0" cy="0"/>
          </xdr:xfrm>
          <a:graphic>
            <a:graphicData uri="http://schemas.microsoft.com/office/drawing/2010/slicer">
              <sle:slicer xmlns:sle="http://schemas.microsoft.com/office/drawing/2010/slicer" name="Customer Name 1"/>
            </a:graphicData>
          </a:graphic>
        </xdr:graphicFrame>
      </mc:Choice>
      <mc:Fallback xmlns="">
        <xdr:sp macro="" textlink="">
          <xdr:nvSpPr>
            <xdr:cNvPr id="0" name=""/>
            <xdr:cNvSpPr>
              <a:spLocks noTextEdit="1"/>
            </xdr:cNvSpPr>
          </xdr:nvSpPr>
          <xdr:spPr>
            <a:xfrm>
              <a:off x="176214" y="2977356"/>
              <a:ext cx="2105024" cy="1104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180976</xdr:colOff>
      <xdr:row>21</xdr:row>
      <xdr:rowOff>128587</xdr:rowOff>
    </xdr:from>
    <xdr:to>
      <xdr:col>3</xdr:col>
      <xdr:colOff>447677</xdr:colOff>
      <xdr:row>28</xdr:row>
      <xdr:rowOff>142875</xdr:rowOff>
    </xdr:to>
    <mc:AlternateContent xmlns:mc="http://schemas.openxmlformats.org/markup-compatibility/2006" xmlns:a14="http://schemas.microsoft.com/office/drawing/2010/main">
      <mc:Choice Requires="a14">
        <xdr:graphicFrame macro="">
          <xdr:nvGraphicFramePr>
            <xdr:cNvPr id="51" name="Store Name 1">
              <a:extLst>
                <a:ext uri="{FF2B5EF4-FFF2-40B4-BE49-F238E27FC236}">
                  <a16:creationId xmlns:a16="http://schemas.microsoft.com/office/drawing/2014/main" id="{0703CE36-50CE-48C8-9C9B-C578654D84D9}"/>
                </a:ext>
              </a:extLst>
            </xdr:cNvPr>
            <xdr:cNvGraphicFramePr/>
          </xdr:nvGraphicFramePr>
          <xdr:xfrm>
            <a:off x="0" y="0"/>
            <a:ext cx="0" cy="0"/>
          </xdr:xfrm>
          <a:graphic>
            <a:graphicData uri="http://schemas.microsoft.com/office/drawing/2010/slicer">
              <sle:slicer xmlns:sle="http://schemas.microsoft.com/office/drawing/2010/slicer" name="Store Name 1"/>
            </a:graphicData>
          </a:graphic>
        </xdr:graphicFrame>
      </mc:Choice>
      <mc:Fallback xmlns="">
        <xdr:sp macro="" textlink="">
          <xdr:nvSpPr>
            <xdr:cNvPr id="0" name=""/>
            <xdr:cNvSpPr>
              <a:spLocks noTextEdit="1"/>
            </xdr:cNvSpPr>
          </xdr:nvSpPr>
          <xdr:spPr>
            <a:xfrm>
              <a:off x="180976" y="4129087"/>
              <a:ext cx="2095501" cy="1347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969482870372" createdVersion="5" refreshedVersion="8" minRefreshableVersion="3" recordCount="0" supportSubquery="1" supportAdvancedDrill="1" xr:uid="{3731D01A-A257-4168-91FC-4FD58C4DF07F}">
  <cacheSource type="external" connectionId="1"/>
  <cacheFields count="3">
    <cacheField name="[Products].[Product Name].[Product Name]" caption="Product Name" numFmtId="0" hierarchy="4" level="1">
      <sharedItems count="10">
        <s v="Casing"/>
        <s v="Ethernet Cable"/>
        <s v="HDMI Cable"/>
        <s v="Headphones"/>
        <s v="Keyboard"/>
        <s v="Laptop"/>
        <s v="Mobile"/>
        <s v="Mouse"/>
        <s v="Network Switch"/>
        <s v="Router"/>
      </sharedItems>
    </cacheField>
    <cacheField name="[Measures].[Total Sales]" caption="Total Sales" numFmtId="0" hierarchy="17" level="32767"/>
    <cacheField name="[Customers].[Region].[Region]" caption="Region" numFmtId="0" hierarchy="2" level="1">
      <sharedItems containsSemiMixedTypes="0" containsNonDate="0" containsString="0"/>
    </cacheField>
  </cacheFields>
  <cacheHierarchies count="28">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Products].[Product ID]" caption="Product ID" attribute="1" defaultMemberUniqueName="[Products].[Product ID].[All]" allUniqueName="[Products].[Product ID].[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Unit Cost]" caption="Unit Cost" attribute="1" defaultMemberUniqueName="[Products].[Unit Cost].[All]" allUniqueName="[Products].[Unit Cost].[All]" dimensionUniqueName="[Products]" displayFolder="" count="2" memberValueDatatype="20" unbalanced="0"/>
    <cacheHierarchy uniqueName="[Sales].[Order ID]" caption="Order ID" attribute="1" defaultMemberUniqueName="[Sales].[Order ID].[All]" allUniqueName="[Sales].[Order ID].[All]" dimensionUniqueName="[Sales]" displayFolder="" count="2"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Customer ID]" caption="Customer ID" attribute="1" defaultMemberUniqueName="[Sales].[Customer ID].[All]" allUniqueName="[Sales].[Customer ID].[All]" dimensionUniqueName="[Sales]" displayFolder="" count="2" memberValueDatatype="130" unbalanced="0"/>
    <cacheHierarchy uniqueName="[Sales].[Product ID]" caption="Product ID" attribute="1" defaultMemberUniqueName="[Sales].[Product ID].[All]" allUniqueName="[Sales].[Product ID].[All]" dimensionUniqueName="[Sales]" displayFolder="" count="2" memberValueDatatype="130" unbalanced="0"/>
    <cacheHierarchy uniqueName="[Sales].[Store ID]" caption="Store ID" attribute="1" defaultMemberUniqueName="[Sales].[Store ID].[All]" allUniqueName="[Sales].[Store 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Sales Amount]" caption="Sales Amount" attribute="1" defaultMemberUniqueName="[Sales].[Sales Amount].[All]" allUniqueName="[Sales].[Sales Amount].[All]" dimensionUniqueName="[Sales]" displayFolder="" count="2" memberValueDatatype="20" unbalanced="0"/>
    <cacheHierarchy uniqueName="[Stores].[Store ID]" caption="Store ID" attribute="1" defaultMemberUniqueName="[Stores].[Store ID].[All]" allUniqueName="[Stores].[Store ID].[All]" dimensionUniqueName="[Stores]" displayFolder="" count="2" memberValueDatatype="130" unbalanced="0"/>
    <cacheHierarchy uniqueName="[Stores].[Store Name]" caption="Store Name" attribute="1" defaultMemberUniqueName="[Stores].[Store Name].[All]" allUniqueName="[Stores].[Store Name].[All]" dimensionUniqueName="[Stores]" displayFolder="" count="2" memberValueDatatype="130" unbalanced="0"/>
    <cacheHierarchy uniqueName="[Stores].[City]" caption="City" attribute="1" defaultMemberUniqueName="[Stores].[City].[All]" allUniqueName="[Stores].[City].[All]" dimensionUniqueName="[Stores]" displayFolder="" count="2" memberValueDatatype="130" unbalanced="0"/>
    <cacheHierarchy uniqueName="[Measures].[Total Sales]" caption="Total Sales" measure="1" displayFolder="" measureGroup="Sales" count="0" oneField="1">
      <fieldsUsage count="1">
        <fieldUsage x="1"/>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Profit Percentage]" caption="Profit Percentage"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Quantity]" caption="Sum of Quantity" measure="1" displayFolder="" measureGroup="Sales" count="0" hidden="1">
      <extLst>
        <ext xmlns:x15="http://schemas.microsoft.com/office/spreadsheetml/2010/11/main" uri="{B97F6D7D-B522-45F9-BDA1-12C45D357490}">
          <x15:cacheHierarchy aggregatedColumn="12"/>
        </ext>
      </extLst>
    </cacheHierarchy>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s>
  <measureGroups count="4">
    <measureGroup name="Customers" caption="Customers"/>
    <measureGroup name="Products" caption="Products"/>
    <measureGroup name="Sales" caption="Sales"/>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969483333334" createdVersion="5" refreshedVersion="8" minRefreshableVersion="3" recordCount="0" supportSubquery="1" supportAdvancedDrill="1" xr:uid="{3EF3BE4F-07B1-48C1-AA10-71DC1A08E0BD}">
  <cacheSource type="external" connectionId="1"/>
  <cacheFields count="2">
    <cacheField name="[Measures].[Total Sales]" caption="Total Sales" numFmtId="0" hierarchy="17" level="32767"/>
    <cacheField name="[Customers].[Region].[Region]" caption="Region" numFmtId="0" hierarchy="2" level="1">
      <sharedItems count="4">
        <s v="East"/>
        <s v="North"/>
        <s v="South"/>
        <s v="West"/>
      </sharedItems>
    </cacheField>
  </cacheFields>
  <cacheHierarchies count="28">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1"/>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 Cost]" caption="Unit Cost" attribute="1" defaultMemberUniqueName="[Products].[Unit Cost].[All]" allUniqueName="[Products].[Unit Cost].[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tore ID]" caption="Store ID" attribute="1" defaultMemberUniqueName="[Sales].[Store ID].[All]" allUniqueName="[Sales].[Store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tores].[Store ID]" caption="Store ID" attribute="1" defaultMemberUniqueName="[Stores].[Store ID].[All]" allUniqueName="[Stores].[Store ID].[All]" dimensionUniqueName="[Stores]" displayFolder="" count="0" memberValueDatatype="130" unbalanced="0"/>
    <cacheHierarchy uniqueName="[Stores].[Store Name]" caption="Store Name" attribute="1" defaultMemberUniqueName="[Stores].[Store Name].[All]" allUniqueName="[Stores].[Store Name].[All]" dimensionUniqueName="[Store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Profit Percentage]" caption="Profit Percentage"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Quantity]" caption="Sum of Quantity" measure="1" displayFolder="" measureGroup="Sales" count="0" hidden="1">
      <extLst>
        <ext xmlns:x15="http://schemas.microsoft.com/office/spreadsheetml/2010/11/main" uri="{B97F6D7D-B522-45F9-BDA1-12C45D357490}">
          <x15:cacheHierarchy aggregatedColumn="12"/>
        </ext>
      </extLst>
    </cacheHierarchy>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s>
  <measureGroups count="4">
    <measureGroup name="Customers" caption="Customers"/>
    <measureGroup name="Products" caption="Products"/>
    <measureGroup name="Sales" caption="Sales"/>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969483680557" createdVersion="5" refreshedVersion="8" minRefreshableVersion="3" recordCount="0" supportSubquery="1" supportAdvancedDrill="1" xr:uid="{92416039-44CD-4562-9428-25323CDED8F8}">
  <cacheSource type="external" connectionId="1"/>
  <cacheFields count="6">
    <cacheField name="[Measures].[Total Sales]" caption="Total Sales" numFmtId="0" hierarchy="17" level="32767"/>
    <cacheField name="[Measures].[Total Cost]" caption="Total Cost" numFmtId="0" hierarchy="18" level="32767"/>
    <cacheField name="[Measures].[Total Profit]" caption="Total Profit" numFmtId="0" hierarchy="19" level="32767"/>
    <cacheField name="[Measures].[Profit Percentage]" caption="Profit Percentage" numFmtId="0" hierarchy="20" level="32767"/>
    <cacheField name="[Measures].[Sum of Quantity]" caption="Sum of Quantity" numFmtId="0" hierarchy="26" level="32767"/>
    <cacheField name="[Customers].[Region].[Region]" caption="Region" numFmtId="0" hierarchy="2" level="1">
      <sharedItems containsSemiMixedTypes="0" containsNonDate="0" containsString="0"/>
    </cacheField>
  </cacheFields>
  <cacheHierarchies count="28">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5"/>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 Cost]" caption="Unit Cost" attribute="1" defaultMemberUniqueName="[Products].[Unit Cost].[All]" allUniqueName="[Products].[Unit Cost].[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tore ID]" caption="Store ID" attribute="1" defaultMemberUniqueName="[Sales].[Store ID].[All]" allUniqueName="[Sales].[Store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tores].[Store ID]" caption="Store ID" attribute="1" defaultMemberUniqueName="[Stores].[Store ID].[All]" allUniqueName="[Stores].[Store ID].[All]" dimensionUniqueName="[Stores]" displayFolder="" count="0" memberValueDatatype="130" unbalanced="0"/>
    <cacheHierarchy uniqueName="[Stores].[Store Name]" caption="Store Name" attribute="1" defaultMemberUniqueName="[Stores].[Store Name].[All]" allUniqueName="[Stores].[Store Name].[All]" dimensionUniqueName="[Store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oneField="1">
      <fieldsUsage count="1">
        <fieldUsage x="1"/>
      </fieldsUsage>
    </cacheHierarchy>
    <cacheHierarchy uniqueName="[Measures].[Total Profit]" caption="Total Profit" measure="1" displayFolder="" measureGroup="Sales" count="0" oneField="1">
      <fieldsUsage count="1">
        <fieldUsage x="2"/>
      </fieldsUsage>
    </cacheHierarchy>
    <cacheHierarchy uniqueName="[Measures].[Profit Percentage]" caption="Profit Percentage" measure="1" displayFolder="" measureGroup="Sales" count="0" oneField="1">
      <fieldsUsage count="1">
        <fieldUsage x="3"/>
      </fieldsUsage>
    </cacheHierarchy>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Quantity]" caption="Sum of Quantity" measure="1" displayFolder="" measureGroup="Sales" count="0" oneField="1" hidden="1">
      <fieldsUsage count="1">
        <fieldUsage x="4"/>
      </fieldsUsage>
      <extLst>
        <ext xmlns:x15="http://schemas.microsoft.com/office/spreadsheetml/2010/11/main" uri="{B97F6D7D-B522-45F9-BDA1-12C45D357490}">
          <x15:cacheHierarchy aggregatedColumn="12"/>
        </ext>
      </extLst>
    </cacheHierarchy>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s>
  <measureGroups count="4">
    <measureGroup name="Customers" caption="Customers"/>
    <measureGroup name="Products" caption="Products"/>
    <measureGroup name="Sales" caption="Sales"/>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4.101171643517" createdVersion="3" refreshedVersion="8" minRefreshableVersion="3" recordCount="0" supportSubquery="1" supportAdvancedDrill="1" xr:uid="{979623DF-EE8F-4E24-A26D-EA2D65B10F68}">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 Cost]" caption="Unit Cost" attribute="1" defaultMemberUniqueName="[Products].[Unit Cost].[All]" allUniqueName="[Products].[Unit Cost].[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Store ID]" caption="Store ID" attribute="1" defaultMemberUniqueName="[Sales].[Store ID].[All]" allUniqueName="[Sales].[Store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tores].[Store ID]" caption="Store ID" attribute="1" defaultMemberUniqueName="[Stores].[Store ID].[All]" allUniqueName="[Stores].[Store ID].[All]" dimensionUniqueName="[Stores]" displayFolder="" count="0" memberValueDatatype="130" unbalanced="0"/>
    <cacheHierarchy uniqueName="[Stores].[Store Name]" caption="Store Name" attribute="1" defaultMemberUniqueName="[Stores].[Store Name].[All]" allUniqueName="[Stores].[Store Name].[All]" dimensionUniqueName="[Store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Measures].[Total Sales]" caption="Total Sale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Profit Percentage]" caption="Profit Percentage"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Quantity]" caption="Sum of Quantity" measure="1" displayFolder="" measureGroup="Sales" count="0" hidden="1">
      <extLst>
        <ext xmlns:x15="http://schemas.microsoft.com/office/spreadsheetml/2010/11/main" uri="{B97F6D7D-B522-45F9-BDA1-12C45D357490}">
          <x15:cacheHierarchy aggregatedColumn="12"/>
        </ext>
      </extLst>
    </cacheHierarchy>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693844355"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CB3B2F-4DF8-4834-B84F-3DD0E33A6FAF}" name="PivotTable7" cacheId="27" applyNumberFormats="0" applyBorderFormats="0" applyFontFormats="0" applyPatternFormats="0" applyAlignmentFormats="0" applyWidthHeightFormats="1" dataCaption="Values" tag="7895dbf3-6434-43c7-aeaf-96eb424d47fe" updatedVersion="8" minRefreshableVersion="3" useAutoFormatting="1" itemPrintTitles="1" createdVersion="5" indent="0" outline="1" outlineData="1" multipleFieldFilters="0" chartFormat="20">
  <location ref="D1:E6"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3" format="6">
      <pivotArea type="data" outline="0" fieldPosition="0">
        <references count="2">
          <reference field="4294967294" count="1" selected="0">
            <x v="0"/>
          </reference>
          <reference field="1" count="1" selected="0">
            <x v="3"/>
          </reference>
        </references>
      </pivotArea>
    </chartFormat>
  </chartFormats>
  <pivotHierarchies count="28">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753AB7-902B-46B9-AA04-7D0C0CD927C6}" name="PivotTable1" cacheId="24" applyNumberFormats="0" applyBorderFormats="0" applyFontFormats="0" applyPatternFormats="0" applyAlignmentFormats="0" applyWidthHeightFormats="1" dataCaption="Values" tag="b9ff5f55-b102-45cd-a97a-b68fe33c1311" updatedVersion="8" minRefreshableVersion="3" useAutoFormatting="1" subtotalHiddenItems="1" itemPrintTitles="1" createdVersion="5" indent="0" outline="1" outlineData="1" multipleFieldFilters="0" chartFormat="16">
  <location ref="A1:B12"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11">
    <chartFormat chart="2" format="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1"/>
          </reference>
        </references>
      </pivotArea>
    </chartFormat>
    <chartFormat chart="2" format="15">
      <pivotArea type="data" outline="0" fieldPosition="0">
        <references count="2">
          <reference field="4294967294" count="1" selected="0">
            <x v="0"/>
          </reference>
          <reference field="0" count="1" selected="0">
            <x v="2"/>
          </reference>
        </references>
      </pivotArea>
    </chartFormat>
    <chartFormat chart="2" format="16">
      <pivotArea type="data" outline="0" fieldPosition="0">
        <references count="2">
          <reference field="4294967294" count="1" selected="0">
            <x v="0"/>
          </reference>
          <reference field="0" count="1" selected="0">
            <x v="3"/>
          </reference>
        </references>
      </pivotArea>
    </chartFormat>
    <chartFormat chart="2" format="17">
      <pivotArea type="data" outline="0" fieldPosition="0">
        <references count="2">
          <reference field="4294967294" count="1" selected="0">
            <x v="0"/>
          </reference>
          <reference field="0" count="1" selected="0">
            <x v="4"/>
          </reference>
        </references>
      </pivotArea>
    </chartFormat>
    <chartFormat chart="2" format="18">
      <pivotArea type="data" outline="0" fieldPosition="0">
        <references count="2">
          <reference field="4294967294" count="1" selected="0">
            <x v="0"/>
          </reference>
          <reference field="0" count="1" selected="0">
            <x v="5"/>
          </reference>
        </references>
      </pivotArea>
    </chartFormat>
    <chartFormat chart="2" format="19">
      <pivotArea type="data" outline="0" fieldPosition="0">
        <references count="2">
          <reference field="4294967294" count="1" selected="0">
            <x v="0"/>
          </reference>
          <reference field="0" count="1" selected="0">
            <x v="6"/>
          </reference>
        </references>
      </pivotArea>
    </chartFormat>
    <chartFormat chart="2" format="20">
      <pivotArea type="data" outline="0" fieldPosition="0">
        <references count="2">
          <reference field="4294967294" count="1" selected="0">
            <x v="0"/>
          </reference>
          <reference field="0" count="1" selected="0">
            <x v="7"/>
          </reference>
        </references>
      </pivotArea>
    </chartFormat>
    <chartFormat chart="2" format="21">
      <pivotArea type="data" outline="0" fieldPosition="0">
        <references count="2">
          <reference field="4294967294" count="1" selected="0">
            <x v="0"/>
          </reference>
          <reference field="0" count="1" selected="0">
            <x v="8"/>
          </reference>
        </references>
      </pivotArea>
    </chartFormat>
    <chartFormat chart="2" format="22">
      <pivotArea type="data" outline="0" fieldPosition="0">
        <references count="2">
          <reference field="4294967294" count="1" selected="0">
            <x v="0"/>
          </reference>
          <reference field="0" count="1" selected="0">
            <x v="9"/>
          </reference>
        </references>
      </pivotArea>
    </chartFormat>
  </chartFormats>
  <pivotHierarchies count="28">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316476-98B6-4383-8D92-9EFCBBDBD958}" name="PivotTable8" cacheId="30" applyNumberFormats="0" applyBorderFormats="0" applyFontFormats="0" applyPatternFormats="0" applyAlignmentFormats="0" applyWidthHeightFormats="1" dataCaption="Values" tag="9b9c1f13-c95e-47be-a28c-f202a7940ee7" updatedVersion="8" minRefreshableVersion="3" useAutoFormatting="1" itemPrintTitles="1" createdVersion="5" indent="0" outline="1" outlineData="1" multipleFieldFilters="0" chartFormat="2">
  <location ref="G1:K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name="Sum of Quantity" fld="4" baseField="0" baseItem="0" numFmtId="1"/>
  </dataFields>
  <formats count="1">
    <format dxfId="3">
      <pivotArea outline="0" collapsedLevelsAreSubtotals="1" fieldPosition="0">
        <references count="1">
          <reference field="4294967294" count="1" selected="0">
            <x v="4"/>
          </reference>
        </references>
      </pivotArea>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ECAA04-AC2C-4A99-85D4-EFD68601E11F}" sourceName="[Customers].[Region]">
  <pivotTables>
    <pivotTable tabId="5" name="PivotTable1"/>
    <pivotTable tabId="5" name="PivotTable7"/>
    <pivotTable tabId="5" name="PivotTable8"/>
  </pivotTables>
  <data>
    <olap pivotCacheId="1693844355">
      <levels count="2">
        <level uniqueName="[Customers].[Region].[(All)]" sourceCaption="(All)" count="0"/>
        <level uniqueName="[Customers].[Region].[Region]" sourceCaption="Region" count="4" sortOrder="ascending">
          <ranges>
            <range startItem="0">
              <i n="[Customers].[Region].&amp;[East]" c="East"/>
              <i n="[Customers].[Region].&amp;[North]" c="North"/>
              <i n="[Customers].[Region].&amp;[South]" c="South"/>
              <i n="[Customers].[Region].&amp;[West]" c="West"/>
            </range>
          </ranges>
        </level>
      </levels>
      <selections count="1">
        <selection n="[Custom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CF56DA11-4D83-439F-9BA2-A98E1A35C93E}" sourceName="[Products].[Product Name]">
  <pivotTables>
    <pivotTable tabId="5" name="PivotTable1"/>
  </pivotTables>
  <data>
    <olap pivotCacheId="1693844355">
      <levels count="2">
        <level uniqueName="[Products].[Product Name].[(All)]" sourceCaption="(All)" count="0"/>
        <level uniqueName="[Products].[Product Name].[Product Name]" sourceCaption="Product Name" count="10">
          <ranges>
            <range startItem="0">
              <i n="[Products].[Product Name].&amp;[Casing]" c="Casing"/>
              <i n="[Products].[Product Name].&amp;[Ethernet Cable]" c="Ethernet Cable"/>
              <i n="[Products].[Product Name].&amp;[HDMI Cable]" c="HDMI Cable"/>
              <i n="[Products].[Product Name].&amp;[Headphones]" c="Headphones"/>
              <i n="[Products].[Product Name].&amp;[Keyboard]" c="Keyboard"/>
              <i n="[Products].[Product Name].&amp;[Laptop]" c="Laptop"/>
              <i n="[Products].[Product Name].&amp;[Mobile]" c="Mobile"/>
              <i n="[Products].[Product Name].&amp;[Mouse]" c="Mouse"/>
              <i n="[Products].[Product Name].&amp;[Network Switch]" c="Network Switch"/>
              <i n="[Products].[Product Name].&amp;[Router]" c="Router"/>
            </range>
          </ranges>
        </level>
      </levels>
      <selections count="1">
        <selection n="[Products].[Product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3D630729-509D-4558-931F-FFF27463DF1E}" sourceName="[Customers].[Customer Name]">
  <pivotTables>
    <pivotTable tabId="5" name="PivotTable1"/>
    <pivotTable tabId="5" name="PivotTable7"/>
    <pivotTable tabId="5" name="PivotTable8"/>
  </pivotTables>
  <data>
    <olap pivotCacheId="1693844355">
      <levels count="2">
        <level uniqueName="[Customers].[Customer Name].[(All)]" sourceCaption="(All)" count="0"/>
        <level uniqueName="[Customers].[Customer Name].[Customer Name]" sourceCaption="Customer Name" count="10">
          <ranges>
            <range startItem="0">
              <i n="[Customers].[Customer Name].&amp;[Anas]" c="Anas"/>
              <i n="[Customers].[Customer Name].&amp;[Faisal]" c="Faisal"/>
              <i n="[Customers].[Customer Name].&amp;[Mamun]" c="Mamun"/>
              <i n="[Customers].[Customer Name].&amp;[Mayeen]" c="Mayeen"/>
              <i n="[Customers].[Customer Name].&amp;[Rayhan]" c="Rayhan"/>
              <i n="[Customers].[Customer Name].&amp;[Riyad]" c="Riyad"/>
              <i n="[Customers].[Customer Name].&amp;[Sayem]" c="Sayem"/>
              <i n="[Customers].[Customer Name].&amp;[Tamim]" c="Tamim"/>
              <i n="[Customers].[Customer Name].&amp;[Tasin]" c="Tasin"/>
              <i n="[Customers].[Customer Name].&amp;[Tawheed]" c="Tawheed"/>
            </range>
          </ranges>
        </level>
      </levels>
      <selections count="1">
        <selection n="[Customers].[Customer 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AA899B8-A06A-4049-965E-55D0BE7FAD9B}" sourceName="[Products].[Category]">
  <pivotTables>
    <pivotTable tabId="5" name="PivotTable1"/>
    <pivotTable tabId="5" name="PivotTable7"/>
    <pivotTable tabId="5" name="PivotTable8"/>
  </pivotTables>
  <data>
    <olap pivotCacheId="1693844355">
      <levels count="2">
        <level uniqueName="[Products].[Category].[(All)]" sourceCaption="(All)" count="0"/>
        <level uniqueName="[Products].[Category].[Category]" sourceCaption="Category" count="3">
          <ranges>
            <range startItem="0">
              <i n="[Products].[Category].&amp;[Accessories]" c="Accessories"/>
              <i n="[Products].[Category].&amp;[Electronics]" c="Electronics"/>
              <i n="[Products].[Category].&amp;[Networking]" c="Networking"/>
            </range>
          </ranges>
        </level>
      </levels>
      <selections count="1">
        <selection n="[Products].[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C0AD977C-191A-4B1E-9859-997825AD1E9C}" sourceName="[Stores].[Store Name]">
  <pivotTables>
    <pivotTable tabId="5" name="PivotTable1"/>
    <pivotTable tabId="5" name="PivotTable7"/>
    <pivotTable tabId="5" name="PivotTable8"/>
  </pivotTables>
  <data>
    <olap pivotCacheId="1693844355">
      <levels count="2">
        <level uniqueName="[Stores].[Store Name].[(All)]" sourceCaption="(All)" count="0"/>
        <level uniqueName="[Stores].[Store Name].[Store Name]" sourceCaption="Store Name" count="10">
          <ranges>
            <range startItem="0">
              <i n="[Stores].[Store Name].&amp;[Computer Mania]" c="Computer Mania"/>
              <i n="[Stores].[Store Name].&amp;[Computer Source]" c="Computer Source"/>
              <i n="[Stores].[Store Name].&amp;[Computer Village]" c="Computer Village"/>
              <i n="[Stores].[Store Name].&amp;[Global Brand PLC]" c="Global Brand PLC"/>
              <i n="[Stores].[Store Name].&amp;[Potaka IT]" c="Potaka IT"/>
              <i n="[Stores].[Store Name].&amp;[Ryans Computer]" c="Ryans Computer"/>
              <i n="[Stores].[Store Name].&amp;[Smart Technologies]" c="Smart Technologies"/>
              <i n="[Stores].[Store Name].&amp;[Star Tech]" c="Star Tech"/>
              <i n="[Stores].[Store Name].&amp;[Techland BD]" c="Techland BD"/>
              <i n="[Stores].[Store Name].&amp;[UCC]" c="UCC"/>
            </range>
          </ranges>
        </level>
      </levels>
      <selections count="1">
        <selection n="[Stores].[Store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48C8DD2-2987-4055-909B-7E32B8BCFBE0}" cache="Slicer_Region" caption="Region" level="1" rowHeight="257175"/>
  <slicer name="Product Name" xr10:uid="{E6B1726D-49F3-4842-9C68-96FB6C8DC9F8}" cache="Slicer_Product_Name" caption="Product Name" level="1" rowHeight="257175"/>
  <slicer name="Customer Name" xr10:uid="{001972BE-F185-48F6-B7AA-3DF04DBEEEA0}" cache="Slicer_Customer_Name" caption="Customer Name" level="1" rowHeight="257175"/>
  <slicer name="Category" xr10:uid="{6ECFE837-1D77-4718-889A-F01B864B0DA0}" cache="Slicer_Category" caption="Category" level="1" rowHeight="257175"/>
  <slicer name="Store Name" xr10:uid="{3EFF8D2F-2FB2-4FE8-87C7-9BA82839FD36}" cache="Slicer_Store_Name" caption="Store Name"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1911D2B-EA0E-4313-A1F2-BD2D198057F4}" cache="Slicer_Region" caption="Region" columnCount="2" level="1" style="SlicerStyleDark1" rowHeight="257175"/>
  <slicer name="Customer Name 1" xr10:uid="{77ACCAAB-174B-4F7A-ABA5-6401C078C01C}" cache="Slicer_Customer_Name" caption="Customer Name" columnCount="2" level="1" style="SlicerStyleDark1" rowHeight="320040"/>
  <slicer name="Category 1" xr10:uid="{2A782650-099C-4F61-A986-424F15369AE1}" cache="Slicer_Category" caption="Category" columnCount="2" level="1" style="SlicerStyleDark1" rowHeight="257175"/>
  <slicer name="Store Name 1" xr10:uid="{0D389610-5059-4102-A94E-7AFDAA503A73}" cache="Slicer_Store_Name" caption="Store Name" level="1"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5D86DC-88E2-4B7C-8487-2FB9078E6242}" name="Customers" displayName="Customers" ref="A1:C11" totalsRowShown="0">
  <autoFilter ref="A1:C11" xr:uid="{655D86DC-88E2-4B7C-8487-2FB9078E6242}"/>
  <tableColumns count="3">
    <tableColumn id="1" xr3:uid="{0C035411-4D2E-472C-AC95-EA9E6F3E56A2}" name="Customer ID"/>
    <tableColumn id="2" xr3:uid="{35141056-2B9D-4534-9B48-8CC131FA761D}" name="Customer Name"/>
    <tableColumn id="3" xr3:uid="{A4D56888-B47B-490A-9983-98EA0DF23376}" name="Region"/>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13B47F-845B-490C-8513-CFBAEFC49B9F}" name="Products" displayName="Products" ref="A1:D11" totalsRowShown="0">
  <autoFilter ref="A1:D11" xr:uid="{0E13B47F-845B-490C-8513-CFBAEFC49B9F}"/>
  <tableColumns count="4">
    <tableColumn id="1" xr3:uid="{FD713989-4B80-493D-ABBD-2C336F7D799E}" name="Product ID"/>
    <tableColumn id="2" xr3:uid="{1CAB9B62-AF02-4028-BF8D-3423A21ACA3E}" name="Product Name"/>
    <tableColumn id="3" xr3:uid="{9D52ECDA-5D7F-4245-8DEE-202B873D95D5}" name="Category"/>
    <tableColumn id="4" xr3:uid="{C3B48847-1223-4A9E-81B7-30F7072FF9D3}" name="Unit Cost"/>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3C36F4-F281-447E-BAB4-C10F4325BEF8}" name="Stores" displayName="Stores" ref="A1:C11" totalsRowShown="0">
  <autoFilter ref="A1:C11" xr:uid="{A83C36F4-F281-447E-BAB4-C10F4325BEF8}"/>
  <tableColumns count="3">
    <tableColumn id="1" xr3:uid="{0A855BF1-E5C7-48E4-B2E7-DAEDB66489AF}" name="Store ID"/>
    <tableColumn id="2" xr3:uid="{559845E0-BB46-4D1D-A868-868C4F6EE3B7}" name="Store Name"/>
    <tableColumn id="3" xr3:uid="{602657F6-B93B-4787-A007-84C69CB1DD56}" name="City"/>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B6678A-C82E-47DD-9F19-245FCEB40283}" name="Sales" displayName="Sales" ref="A1:G25" totalsRowShown="0">
  <autoFilter ref="A1:G25" xr:uid="{A9B6678A-C82E-47DD-9F19-245FCEB40283}"/>
  <tableColumns count="7">
    <tableColumn id="1" xr3:uid="{6BB9258E-1AAE-4985-9D02-6186CAEAD51D}" name="Order ID"/>
    <tableColumn id="2" xr3:uid="{A08F258A-463F-4947-8DAC-F8517B61B88A}" name="Order Date"/>
    <tableColumn id="3" xr3:uid="{24317681-FF1C-4414-B903-0FDC58A528A6}" name="Customer ID"/>
    <tableColumn id="4" xr3:uid="{9F7FA274-5C51-4C21-829B-0D53B24310AF}" name="Product ID"/>
    <tableColumn id="5" xr3:uid="{F1792707-C930-4DE6-89AD-A418EDD0C47F}" name="Store ID"/>
    <tableColumn id="6" xr3:uid="{261EFC08-4447-4553-A47F-9401E9AD8D78}" name="Quantity"/>
    <tableColumn id="7" xr3:uid="{0F81F5D5-0BD1-4F08-B6BA-168DE7AD0455}" name="Sales Amount"/>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1FF98-EEB8-4ACB-B707-DD7DEA28206C}">
  <dimension ref="A1:C11"/>
  <sheetViews>
    <sheetView zoomScale="140" zoomScaleNormal="140" workbookViewId="0">
      <selection activeCell="F32" sqref="F32"/>
    </sheetView>
  </sheetViews>
  <sheetFormatPr defaultRowHeight="15" x14ac:dyDescent="0.25"/>
  <cols>
    <col min="1" max="1" width="14.7109375" bestFit="1" customWidth="1"/>
    <col min="2" max="2" width="18.140625" bestFit="1" customWidth="1"/>
    <col min="3" max="3" width="10.42578125" bestFit="1" customWidth="1"/>
  </cols>
  <sheetData>
    <row r="1" spans="1:3" x14ac:dyDescent="0.25">
      <c r="A1" s="1" t="s">
        <v>2</v>
      </c>
      <c r="B1" s="1" t="s">
        <v>1</v>
      </c>
      <c r="C1" s="1" t="s">
        <v>0</v>
      </c>
    </row>
    <row r="2" spans="1:3" x14ac:dyDescent="0.25">
      <c r="A2" t="s">
        <v>13</v>
      </c>
      <c r="B2" t="s">
        <v>3</v>
      </c>
      <c r="C2" t="s">
        <v>30</v>
      </c>
    </row>
    <row r="3" spans="1:3" x14ac:dyDescent="0.25">
      <c r="A3" t="s">
        <v>14</v>
      </c>
      <c r="B3" t="s">
        <v>4</v>
      </c>
      <c r="C3" t="s">
        <v>31</v>
      </c>
    </row>
    <row r="4" spans="1:3" x14ac:dyDescent="0.25">
      <c r="A4" t="s">
        <v>15</v>
      </c>
      <c r="B4" t="s">
        <v>5</v>
      </c>
      <c r="C4" t="s">
        <v>32</v>
      </c>
    </row>
    <row r="5" spans="1:3" x14ac:dyDescent="0.25">
      <c r="A5" t="s">
        <v>16</v>
      </c>
      <c r="B5" t="s">
        <v>6</v>
      </c>
      <c r="C5" t="s">
        <v>33</v>
      </c>
    </row>
    <row r="6" spans="1:3" x14ac:dyDescent="0.25">
      <c r="A6" t="s">
        <v>17</v>
      </c>
      <c r="B6" t="s">
        <v>7</v>
      </c>
      <c r="C6" t="s">
        <v>31</v>
      </c>
    </row>
    <row r="7" spans="1:3" x14ac:dyDescent="0.25">
      <c r="A7" t="s">
        <v>18</v>
      </c>
      <c r="B7" t="s">
        <v>8</v>
      </c>
      <c r="C7" t="s">
        <v>32</v>
      </c>
    </row>
    <row r="8" spans="1:3" x14ac:dyDescent="0.25">
      <c r="A8" t="s">
        <v>19</v>
      </c>
      <c r="B8" t="s">
        <v>9</v>
      </c>
      <c r="C8" t="s">
        <v>33</v>
      </c>
    </row>
    <row r="9" spans="1:3" x14ac:dyDescent="0.25">
      <c r="A9" t="s">
        <v>20</v>
      </c>
      <c r="B9" t="s">
        <v>10</v>
      </c>
      <c r="C9" t="s">
        <v>30</v>
      </c>
    </row>
    <row r="10" spans="1:3" x14ac:dyDescent="0.25">
      <c r="A10" t="s">
        <v>21</v>
      </c>
      <c r="B10" t="s">
        <v>11</v>
      </c>
      <c r="C10" t="s">
        <v>31</v>
      </c>
    </row>
    <row r="11" spans="1:3" x14ac:dyDescent="0.25">
      <c r="A11" t="s">
        <v>22</v>
      </c>
      <c r="B11" t="s">
        <v>12</v>
      </c>
      <c r="C11" t="s">
        <v>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03B77-5636-4DBA-8F0D-8C3A007E7711}">
  <dimension ref="A1:D11"/>
  <sheetViews>
    <sheetView zoomScale="150" zoomScaleNormal="150" workbookViewId="0">
      <selection activeCell="D8" sqref="D8"/>
    </sheetView>
  </sheetViews>
  <sheetFormatPr defaultRowHeight="15" x14ac:dyDescent="0.25"/>
  <cols>
    <col min="1" max="1" width="12.5703125" customWidth="1"/>
    <col min="2" max="2" width="15.85546875" customWidth="1"/>
    <col min="3" max="3" width="11.28515625" customWidth="1"/>
    <col min="4" max="4" width="11.5703125" customWidth="1"/>
  </cols>
  <sheetData>
    <row r="1" spans="1:4" x14ac:dyDescent="0.25">
      <c r="A1" t="s">
        <v>26</v>
      </c>
      <c r="B1" t="s">
        <v>27</v>
      </c>
      <c r="C1" t="s">
        <v>28</v>
      </c>
      <c r="D1" t="s">
        <v>29</v>
      </c>
    </row>
    <row r="2" spans="1:4" x14ac:dyDescent="0.25">
      <c r="A2" t="s">
        <v>47</v>
      </c>
      <c r="B2" t="s">
        <v>34</v>
      </c>
      <c r="C2" t="s">
        <v>38</v>
      </c>
      <c r="D2">
        <v>700</v>
      </c>
    </row>
    <row r="3" spans="1:4" x14ac:dyDescent="0.25">
      <c r="A3" t="s">
        <v>48</v>
      </c>
      <c r="B3" t="s">
        <v>35</v>
      </c>
      <c r="C3" t="s">
        <v>38</v>
      </c>
      <c r="D3">
        <v>500</v>
      </c>
    </row>
    <row r="4" spans="1:4" x14ac:dyDescent="0.25">
      <c r="A4" t="s">
        <v>49</v>
      </c>
      <c r="B4" t="s">
        <v>36</v>
      </c>
      <c r="C4" t="s">
        <v>38</v>
      </c>
      <c r="D4">
        <v>60000</v>
      </c>
    </row>
    <row r="5" spans="1:4" x14ac:dyDescent="0.25">
      <c r="A5" t="s">
        <v>50</v>
      </c>
      <c r="B5" t="s">
        <v>37</v>
      </c>
      <c r="C5" t="s">
        <v>38</v>
      </c>
      <c r="D5">
        <v>10000</v>
      </c>
    </row>
    <row r="6" spans="1:4" x14ac:dyDescent="0.25">
      <c r="A6" t="s">
        <v>51</v>
      </c>
      <c r="B6" t="s">
        <v>39</v>
      </c>
      <c r="C6" t="s">
        <v>41</v>
      </c>
      <c r="D6">
        <v>350</v>
      </c>
    </row>
    <row r="7" spans="1:4" x14ac:dyDescent="0.25">
      <c r="A7" t="s">
        <v>52</v>
      </c>
      <c r="B7" t="s">
        <v>40</v>
      </c>
      <c r="C7" t="s">
        <v>41</v>
      </c>
      <c r="D7">
        <v>1000</v>
      </c>
    </row>
    <row r="8" spans="1:4" x14ac:dyDescent="0.25">
      <c r="A8" t="s">
        <v>53</v>
      </c>
      <c r="B8" t="s">
        <v>46</v>
      </c>
      <c r="C8" t="s">
        <v>41</v>
      </c>
      <c r="D8">
        <v>3500</v>
      </c>
    </row>
    <row r="9" spans="1:4" x14ac:dyDescent="0.25">
      <c r="A9" t="s">
        <v>54</v>
      </c>
      <c r="B9" t="s">
        <v>43</v>
      </c>
      <c r="C9" t="s">
        <v>45</v>
      </c>
      <c r="D9">
        <v>250</v>
      </c>
    </row>
    <row r="10" spans="1:4" x14ac:dyDescent="0.25">
      <c r="A10" t="s">
        <v>55</v>
      </c>
      <c r="B10" t="s">
        <v>44</v>
      </c>
      <c r="C10" t="s">
        <v>45</v>
      </c>
      <c r="D10">
        <v>1200</v>
      </c>
    </row>
    <row r="11" spans="1:4" x14ac:dyDescent="0.25">
      <c r="A11" t="s">
        <v>56</v>
      </c>
      <c r="B11" t="s">
        <v>42</v>
      </c>
      <c r="C11" t="s">
        <v>45</v>
      </c>
      <c r="D11">
        <v>2500</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96C4E-6612-4D20-B197-728D49809410}">
  <dimension ref="A1:C11"/>
  <sheetViews>
    <sheetView zoomScale="160" zoomScaleNormal="160" workbookViewId="0">
      <selection activeCell="C21" sqref="C21"/>
    </sheetView>
  </sheetViews>
  <sheetFormatPr defaultRowHeight="15" x14ac:dyDescent="0.25"/>
  <cols>
    <col min="1" max="1" width="10.42578125" customWidth="1"/>
    <col min="2" max="2" width="18.5703125" bestFit="1" customWidth="1"/>
    <col min="3" max="3" width="10.42578125" bestFit="1" customWidth="1"/>
  </cols>
  <sheetData>
    <row r="1" spans="1:3" x14ac:dyDescent="0.25">
      <c r="A1" t="s">
        <v>57</v>
      </c>
      <c r="B1" t="s">
        <v>58</v>
      </c>
      <c r="C1" t="s">
        <v>59</v>
      </c>
    </row>
    <row r="2" spans="1:3" x14ac:dyDescent="0.25">
      <c r="A2" t="s">
        <v>71</v>
      </c>
      <c r="B2" t="s">
        <v>60</v>
      </c>
      <c r="C2" t="s">
        <v>24</v>
      </c>
    </row>
    <row r="3" spans="1:3" x14ac:dyDescent="0.25">
      <c r="A3" t="s">
        <v>72</v>
      </c>
      <c r="B3" t="s">
        <v>61</v>
      </c>
      <c r="C3" t="s">
        <v>24</v>
      </c>
    </row>
    <row r="4" spans="1:3" x14ac:dyDescent="0.25">
      <c r="A4" t="s">
        <v>73</v>
      </c>
      <c r="B4" t="s">
        <v>62</v>
      </c>
      <c r="C4" t="s">
        <v>24</v>
      </c>
    </row>
    <row r="5" spans="1:3" x14ac:dyDescent="0.25">
      <c r="A5" t="s">
        <v>74</v>
      </c>
      <c r="B5" t="s">
        <v>63</v>
      </c>
      <c r="C5" t="s">
        <v>23</v>
      </c>
    </row>
    <row r="6" spans="1:3" x14ac:dyDescent="0.25">
      <c r="A6" t="s">
        <v>75</v>
      </c>
      <c r="B6" t="s">
        <v>64</v>
      </c>
      <c r="C6" t="s">
        <v>25</v>
      </c>
    </row>
    <row r="7" spans="1:3" x14ac:dyDescent="0.25">
      <c r="A7" t="s">
        <v>76</v>
      </c>
      <c r="B7" t="s">
        <v>65</v>
      </c>
      <c r="C7" t="s">
        <v>23</v>
      </c>
    </row>
    <row r="8" spans="1:3" x14ac:dyDescent="0.25">
      <c r="A8" t="s">
        <v>77</v>
      </c>
      <c r="B8" t="s">
        <v>66</v>
      </c>
      <c r="C8" t="s">
        <v>25</v>
      </c>
    </row>
    <row r="9" spans="1:3" x14ac:dyDescent="0.25">
      <c r="A9" t="s">
        <v>78</v>
      </c>
      <c r="B9" t="s">
        <v>67</v>
      </c>
      <c r="C9" t="s">
        <v>70</v>
      </c>
    </row>
    <row r="10" spans="1:3" x14ac:dyDescent="0.25">
      <c r="A10" t="s">
        <v>79</v>
      </c>
      <c r="B10" t="s">
        <v>68</v>
      </c>
      <c r="C10" t="s">
        <v>23</v>
      </c>
    </row>
    <row r="11" spans="1:3" x14ac:dyDescent="0.25">
      <c r="A11" t="s">
        <v>80</v>
      </c>
      <c r="B11" t="s">
        <v>69</v>
      </c>
      <c r="C11" t="s">
        <v>23</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A2DB8-5E60-4E2F-A30F-7876B0EBB535}">
  <dimension ref="A1:G25"/>
  <sheetViews>
    <sheetView workbookViewId="0">
      <selection activeCell="G28" sqref="G28"/>
    </sheetView>
  </sheetViews>
  <sheetFormatPr defaultRowHeight="15" x14ac:dyDescent="0.25"/>
  <cols>
    <col min="1" max="1" width="10.85546875" bestFit="1" customWidth="1"/>
    <col min="2" max="2" width="13.140625" bestFit="1" customWidth="1"/>
    <col min="3" max="3" width="14.7109375" bestFit="1" customWidth="1"/>
    <col min="4" max="4" width="12.7109375" bestFit="1" customWidth="1"/>
    <col min="5" max="5" width="10.5703125" bestFit="1" customWidth="1"/>
    <col min="6" max="6" width="11" bestFit="1" customWidth="1"/>
    <col min="7" max="7" width="15.7109375" bestFit="1" customWidth="1"/>
  </cols>
  <sheetData>
    <row r="1" spans="1:7" x14ac:dyDescent="0.25">
      <c r="A1" t="s">
        <v>81</v>
      </c>
      <c r="B1" t="s">
        <v>84</v>
      </c>
      <c r="C1" t="s">
        <v>2</v>
      </c>
      <c r="D1" t="s">
        <v>26</v>
      </c>
      <c r="E1" t="s">
        <v>57</v>
      </c>
      <c r="F1" t="s">
        <v>82</v>
      </c>
      <c r="G1" t="s">
        <v>83</v>
      </c>
    </row>
    <row r="2" spans="1:7" x14ac:dyDescent="0.25">
      <c r="A2" t="s">
        <v>85</v>
      </c>
      <c r="B2" s="2">
        <v>46237</v>
      </c>
      <c r="C2" t="s">
        <v>13</v>
      </c>
      <c r="D2" t="s">
        <v>49</v>
      </c>
      <c r="E2" t="s">
        <v>71</v>
      </c>
      <c r="F2">
        <v>1</v>
      </c>
      <c r="G2" s="3">
        <v>72000</v>
      </c>
    </row>
    <row r="3" spans="1:7" x14ac:dyDescent="0.25">
      <c r="A3" t="s">
        <v>86</v>
      </c>
      <c r="B3" s="2">
        <v>46240</v>
      </c>
      <c r="C3" t="s">
        <v>14</v>
      </c>
      <c r="D3" t="s">
        <v>47</v>
      </c>
      <c r="E3" t="s">
        <v>74</v>
      </c>
      <c r="F3">
        <v>4</v>
      </c>
      <c r="G3" s="3">
        <v>3800</v>
      </c>
    </row>
    <row r="4" spans="1:7" x14ac:dyDescent="0.25">
      <c r="A4" t="s">
        <v>87</v>
      </c>
      <c r="B4" s="2">
        <v>46243</v>
      </c>
      <c r="C4" t="s">
        <v>15</v>
      </c>
      <c r="D4" t="s">
        <v>50</v>
      </c>
      <c r="E4" t="s">
        <v>72</v>
      </c>
      <c r="F4">
        <v>2</v>
      </c>
      <c r="G4" s="3">
        <v>25000</v>
      </c>
    </row>
    <row r="5" spans="1:7" x14ac:dyDescent="0.25">
      <c r="A5" t="s">
        <v>88</v>
      </c>
      <c r="B5" s="2">
        <v>46246</v>
      </c>
      <c r="C5" t="s">
        <v>16</v>
      </c>
      <c r="D5" t="s">
        <v>48</v>
      </c>
      <c r="E5" t="s">
        <v>76</v>
      </c>
      <c r="F5">
        <v>6</v>
      </c>
      <c r="G5" s="3">
        <v>4200</v>
      </c>
    </row>
    <row r="6" spans="1:7" x14ac:dyDescent="0.25">
      <c r="A6" t="s">
        <v>89</v>
      </c>
      <c r="B6" s="2">
        <v>46249</v>
      </c>
      <c r="C6" t="s">
        <v>17</v>
      </c>
      <c r="D6" t="s">
        <v>52</v>
      </c>
      <c r="E6" t="s">
        <v>73</v>
      </c>
      <c r="F6">
        <v>3</v>
      </c>
      <c r="G6" s="3">
        <v>4200</v>
      </c>
    </row>
    <row r="7" spans="1:7" x14ac:dyDescent="0.25">
      <c r="A7" t="s">
        <v>90</v>
      </c>
      <c r="B7" s="2">
        <v>46252</v>
      </c>
      <c r="C7" t="s">
        <v>18</v>
      </c>
      <c r="D7" t="s">
        <v>51</v>
      </c>
      <c r="E7" t="s">
        <v>75</v>
      </c>
      <c r="F7">
        <v>10</v>
      </c>
      <c r="G7" s="3">
        <v>5000</v>
      </c>
    </row>
    <row r="8" spans="1:7" x14ac:dyDescent="0.25">
      <c r="A8" t="s">
        <v>91</v>
      </c>
      <c r="B8" s="2">
        <v>46255</v>
      </c>
      <c r="C8" t="s">
        <v>19</v>
      </c>
      <c r="D8" t="s">
        <v>53</v>
      </c>
      <c r="E8" t="s">
        <v>78</v>
      </c>
      <c r="F8">
        <v>2</v>
      </c>
      <c r="G8" s="3">
        <v>9000</v>
      </c>
    </row>
    <row r="9" spans="1:7" x14ac:dyDescent="0.25">
      <c r="A9" t="s">
        <v>92</v>
      </c>
      <c r="B9" s="2">
        <v>46258</v>
      </c>
      <c r="C9" t="s">
        <v>20</v>
      </c>
      <c r="D9" t="s">
        <v>55</v>
      </c>
      <c r="E9" t="s">
        <v>71</v>
      </c>
      <c r="F9">
        <v>4</v>
      </c>
      <c r="G9" s="3">
        <v>6400</v>
      </c>
    </row>
    <row r="10" spans="1:7" x14ac:dyDescent="0.25">
      <c r="A10" t="s">
        <v>93</v>
      </c>
      <c r="B10" s="2">
        <v>46261</v>
      </c>
      <c r="C10" t="s">
        <v>21</v>
      </c>
      <c r="D10" t="s">
        <v>56</v>
      </c>
      <c r="E10" t="s">
        <v>79</v>
      </c>
      <c r="F10">
        <v>3</v>
      </c>
      <c r="G10" s="3">
        <v>9900</v>
      </c>
    </row>
    <row r="11" spans="1:7" x14ac:dyDescent="0.25">
      <c r="A11" t="s">
        <v>94</v>
      </c>
      <c r="B11" s="2">
        <v>46264</v>
      </c>
      <c r="C11" t="s">
        <v>22</v>
      </c>
      <c r="D11" t="s">
        <v>54</v>
      </c>
      <c r="E11" t="s">
        <v>80</v>
      </c>
      <c r="F11">
        <v>8</v>
      </c>
      <c r="G11" s="3">
        <v>2800</v>
      </c>
    </row>
    <row r="12" spans="1:7" x14ac:dyDescent="0.25">
      <c r="A12" t="s">
        <v>95</v>
      </c>
      <c r="B12" s="2">
        <v>46267</v>
      </c>
      <c r="C12" t="s">
        <v>13</v>
      </c>
      <c r="D12" t="s">
        <v>50</v>
      </c>
      <c r="E12" t="s">
        <v>77</v>
      </c>
      <c r="F12">
        <v>1</v>
      </c>
      <c r="G12" s="3">
        <v>12500</v>
      </c>
    </row>
    <row r="13" spans="1:7" x14ac:dyDescent="0.25">
      <c r="A13" t="s">
        <v>96</v>
      </c>
      <c r="B13" s="2">
        <v>46270</v>
      </c>
      <c r="C13" t="s">
        <v>14</v>
      </c>
      <c r="D13" t="s">
        <v>49</v>
      </c>
      <c r="E13" t="s">
        <v>72</v>
      </c>
      <c r="F13">
        <v>2</v>
      </c>
      <c r="G13" s="3">
        <v>144000</v>
      </c>
    </row>
    <row r="14" spans="1:7" x14ac:dyDescent="0.25">
      <c r="A14" t="s">
        <v>97</v>
      </c>
      <c r="B14" s="2">
        <v>46273</v>
      </c>
      <c r="C14" t="s">
        <v>15</v>
      </c>
      <c r="D14" t="s">
        <v>48</v>
      </c>
      <c r="E14" t="s">
        <v>74</v>
      </c>
      <c r="F14">
        <v>5</v>
      </c>
      <c r="G14" s="3">
        <v>3500</v>
      </c>
    </row>
    <row r="15" spans="1:7" x14ac:dyDescent="0.25">
      <c r="A15" t="s">
        <v>98</v>
      </c>
      <c r="B15" s="2">
        <v>46276</v>
      </c>
      <c r="C15" t="s">
        <v>16</v>
      </c>
      <c r="D15" t="s">
        <v>47</v>
      </c>
      <c r="E15" t="s">
        <v>73</v>
      </c>
      <c r="F15">
        <v>3</v>
      </c>
      <c r="G15" s="3">
        <v>2850</v>
      </c>
    </row>
    <row r="16" spans="1:7" x14ac:dyDescent="0.25">
      <c r="A16" t="s">
        <v>99</v>
      </c>
      <c r="B16" s="2">
        <v>46279</v>
      </c>
      <c r="C16" t="s">
        <v>17</v>
      </c>
      <c r="D16" t="s">
        <v>55</v>
      </c>
      <c r="E16" t="s">
        <v>76</v>
      </c>
      <c r="F16">
        <v>2</v>
      </c>
      <c r="G16" s="3">
        <v>3200</v>
      </c>
    </row>
    <row r="17" spans="1:7" x14ac:dyDescent="0.25">
      <c r="A17" t="s">
        <v>100</v>
      </c>
      <c r="B17" s="2">
        <v>46282</v>
      </c>
      <c r="C17" t="s">
        <v>18</v>
      </c>
      <c r="D17" t="s">
        <v>52</v>
      </c>
      <c r="E17" t="s">
        <v>79</v>
      </c>
      <c r="F17">
        <v>5</v>
      </c>
      <c r="G17" s="3">
        <v>7000</v>
      </c>
    </row>
    <row r="18" spans="1:7" x14ac:dyDescent="0.25">
      <c r="A18" t="s">
        <v>101</v>
      </c>
      <c r="B18" s="2">
        <v>46285</v>
      </c>
      <c r="C18" t="s">
        <v>19</v>
      </c>
      <c r="D18" t="s">
        <v>51</v>
      </c>
      <c r="E18" t="s">
        <v>71</v>
      </c>
      <c r="F18">
        <v>6</v>
      </c>
      <c r="G18" s="3">
        <v>3000</v>
      </c>
    </row>
    <row r="19" spans="1:7" x14ac:dyDescent="0.25">
      <c r="A19" t="s">
        <v>102</v>
      </c>
      <c r="B19" s="2">
        <v>46288</v>
      </c>
      <c r="C19" t="s">
        <v>20</v>
      </c>
      <c r="D19" t="s">
        <v>56</v>
      </c>
      <c r="E19" t="s">
        <v>75</v>
      </c>
      <c r="F19">
        <v>2</v>
      </c>
      <c r="G19" s="3">
        <v>6600</v>
      </c>
    </row>
    <row r="20" spans="1:7" x14ac:dyDescent="0.25">
      <c r="A20" t="s">
        <v>103</v>
      </c>
      <c r="B20" s="2">
        <v>46291</v>
      </c>
      <c r="C20" t="s">
        <v>21</v>
      </c>
      <c r="D20" t="s">
        <v>49</v>
      </c>
      <c r="E20" t="s">
        <v>80</v>
      </c>
      <c r="F20">
        <v>1</v>
      </c>
      <c r="G20" s="3">
        <v>72000</v>
      </c>
    </row>
    <row r="21" spans="1:7" x14ac:dyDescent="0.25">
      <c r="A21" t="s">
        <v>104</v>
      </c>
      <c r="B21" s="2">
        <v>46294</v>
      </c>
      <c r="C21" t="s">
        <v>22</v>
      </c>
      <c r="D21" t="s">
        <v>53</v>
      </c>
      <c r="E21" t="s">
        <v>77</v>
      </c>
      <c r="F21">
        <v>3</v>
      </c>
      <c r="G21" s="3">
        <v>13500</v>
      </c>
    </row>
    <row r="22" spans="1:7" x14ac:dyDescent="0.25">
      <c r="A22" t="s">
        <v>105</v>
      </c>
      <c r="B22" s="2">
        <v>46297</v>
      </c>
      <c r="C22" t="s">
        <v>15</v>
      </c>
      <c r="D22" t="s">
        <v>54</v>
      </c>
      <c r="E22" t="s">
        <v>78</v>
      </c>
      <c r="F22">
        <v>12</v>
      </c>
      <c r="G22" s="3">
        <v>4200</v>
      </c>
    </row>
    <row r="23" spans="1:7" x14ac:dyDescent="0.25">
      <c r="A23" t="s">
        <v>106</v>
      </c>
      <c r="B23" s="2">
        <v>46300</v>
      </c>
      <c r="C23" t="s">
        <v>17</v>
      </c>
      <c r="D23" t="s">
        <v>50</v>
      </c>
      <c r="E23" t="s">
        <v>72</v>
      </c>
      <c r="F23">
        <v>3</v>
      </c>
      <c r="G23" s="3">
        <v>37500</v>
      </c>
    </row>
    <row r="24" spans="1:7" x14ac:dyDescent="0.25">
      <c r="A24" t="s">
        <v>107</v>
      </c>
      <c r="B24" s="2">
        <v>46303</v>
      </c>
      <c r="C24" t="s">
        <v>19</v>
      </c>
      <c r="D24" t="s">
        <v>47</v>
      </c>
      <c r="E24" t="s">
        <v>74</v>
      </c>
      <c r="F24">
        <v>6</v>
      </c>
      <c r="G24" s="3">
        <v>5700</v>
      </c>
    </row>
    <row r="25" spans="1:7" x14ac:dyDescent="0.25">
      <c r="A25" t="s">
        <v>108</v>
      </c>
      <c r="B25" s="2">
        <v>46306</v>
      </c>
      <c r="C25" t="s">
        <v>21</v>
      </c>
      <c r="D25" t="s">
        <v>48</v>
      </c>
      <c r="E25" t="s">
        <v>73</v>
      </c>
      <c r="F25">
        <v>4</v>
      </c>
      <c r="G25" s="3">
        <v>2800</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9EEE-A5E7-4D65-B8C0-DF8473668C84}">
  <dimension ref="A1:K18"/>
  <sheetViews>
    <sheetView workbookViewId="0">
      <selection activeCell="I32" sqref="I32"/>
    </sheetView>
  </sheetViews>
  <sheetFormatPr defaultRowHeight="15" x14ac:dyDescent="0.25"/>
  <cols>
    <col min="1" max="1" width="14.5703125" bestFit="1" customWidth="1"/>
    <col min="2" max="2" width="10.7109375" bestFit="1" customWidth="1"/>
    <col min="4" max="4" width="13.42578125" bestFit="1" customWidth="1"/>
    <col min="5" max="5" width="10.7109375" bestFit="1" customWidth="1"/>
    <col min="7" max="7" width="10.7109375" bestFit="1" customWidth="1"/>
    <col min="8" max="8" width="10.140625" bestFit="1" customWidth="1"/>
    <col min="9" max="9" width="10.85546875" bestFit="1" customWidth="1"/>
    <col min="10" max="10" width="16.7109375" bestFit="1" customWidth="1"/>
    <col min="11" max="11" width="15.5703125" bestFit="1" customWidth="1"/>
    <col min="12" max="12" width="20.28515625" bestFit="1" customWidth="1"/>
  </cols>
  <sheetData>
    <row r="1" spans="1:11" x14ac:dyDescent="0.25">
      <c r="A1" s="4" t="s">
        <v>109</v>
      </c>
      <c r="B1" t="s">
        <v>111</v>
      </c>
      <c r="D1" s="4" t="s">
        <v>109</v>
      </c>
      <c r="E1" t="s">
        <v>111</v>
      </c>
      <c r="G1" t="s">
        <v>111</v>
      </c>
      <c r="H1" t="s">
        <v>114</v>
      </c>
      <c r="I1" t="s">
        <v>115</v>
      </c>
      <c r="J1" t="s">
        <v>116</v>
      </c>
      <c r="K1" t="s">
        <v>117</v>
      </c>
    </row>
    <row r="2" spans="1:11" x14ac:dyDescent="0.25">
      <c r="A2" s="5" t="s">
        <v>46</v>
      </c>
      <c r="B2" s="13">
        <v>22500</v>
      </c>
      <c r="D2" s="5" t="s">
        <v>32</v>
      </c>
      <c r="E2" s="13">
        <v>44700</v>
      </c>
      <c r="G2" s="13">
        <v>460650</v>
      </c>
      <c r="H2" s="13">
        <v>372400</v>
      </c>
      <c r="I2" s="13">
        <v>88250</v>
      </c>
      <c r="J2" s="8">
        <v>0.19157711928796267</v>
      </c>
      <c r="K2" s="12">
        <v>98</v>
      </c>
    </row>
    <row r="3" spans="1:11" x14ac:dyDescent="0.25">
      <c r="A3" s="5" t="s">
        <v>43</v>
      </c>
      <c r="B3" s="13">
        <v>7000</v>
      </c>
      <c r="D3" s="5" t="s">
        <v>30</v>
      </c>
      <c r="E3" s="13">
        <v>97500</v>
      </c>
    </row>
    <row r="4" spans="1:11" x14ac:dyDescent="0.25">
      <c r="A4" s="5" t="s">
        <v>39</v>
      </c>
      <c r="B4" s="13">
        <v>8000</v>
      </c>
      <c r="D4" s="5" t="s">
        <v>31</v>
      </c>
      <c r="E4" s="13">
        <v>277400</v>
      </c>
      <c r="G4" s="10" t="s">
        <v>111</v>
      </c>
      <c r="H4" s="10" t="s">
        <v>114</v>
      </c>
      <c r="I4" s="10" t="s">
        <v>115</v>
      </c>
      <c r="J4" s="10" t="s">
        <v>116</v>
      </c>
      <c r="K4" s="10" t="s">
        <v>117</v>
      </c>
    </row>
    <row r="5" spans="1:11" x14ac:dyDescent="0.25">
      <c r="A5" s="5" t="s">
        <v>40</v>
      </c>
      <c r="B5" s="13">
        <v>11200</v>
      </c>
      <c r="D5" s="5" t="s">
        <v>33</v>
      </c>
      <c r="E5" s="13">
        <v>41050</v>
      </c>
      <c r="G5">
        <f>IFERROR(GETPIVOTDATA("[Measures].[Total Sales]",$G$1), "")</f>
        <v>460650</v>
      </c>
      <c r="H5">
        <f>IFERROR(GETPIVOTDATA("[Measures].[Total Cost]",$G$1),"")</f>
        <v>372400</v>
      </c>
      <c r="I5">
        <f>IFERROR(GETPIVOTDATA("[Measures].[Total Profit]",$G$1),"")</f>
        <v>88250</v>
      </c>
      <c r="J5" s="11">
        <f>IFERROR(GETPIVOTDATA("[Measures].[Profit Percentage]",$G$1), "")</f>
        <v>0.19157711928796267</v>
      </c>
      <c r="K5">
        <f>IFERROR(GETPIVOTDATA("[Measures].[Sum of Quantity]",$G$1), "")</f>
        <v>98</v>
      </c>
    </row>
    <row r="6" spans="1:11" x14ac:dyDescent="0.25">
      <c r="A6" s="5" t="s">
        <v>34</v>
      </c>
      <c r="B6" s="13">
        <v>12350</v>
      </c>
      <c r="D6" s="5" t="s">
        <v>110</v>
      </c>
      <c r="E6" s="13">
        <v>460650</v>
      </c>
    </row>
    <row r="7" spans="1:11" x14ac:dyDescent="0.25">
      <c r="A7" s="5" t="s">
        <v>36</v>
      </c>
      <c r="B7" s="13">
        <v>288000</v>
      </c>
    </row>
    <row r="8" spans="1:11" x14ac:dyDescent="0.25">
      <c r="A8" s="5" t="s">
        <v>37</v>
      </c>
      <c r="B8" s="13">
        <v>75000</v>
      </c>
    </row>
    <row r="9" spans="1:11" x14ac:dyDescent="0.25">
      <c r="A9" s="5" t="s">
        <v>35</v>
      </c>
      <c r="B9" s="13">
        <v>10500</v>
      </c>
    </row>
    <row r="10" spans="1:11" x14ac:dyDescent="0.25">
      <c r="A10" s="5" t="s">
        <v>44</v>
      </c>
      <c r="B10" s="13">
        <v>9600</v>
      </c>
    </row>
    <row r="11" spans="1:11" x14ac:dyDescent="0.25">
      <c r="A11" s="5" t="s">
        <v>42</v>
      </c>
      <c r="B11" s="13">
        <v>16500</v>
      </c>
    </row>
    <row r="12" spans="1:11" x14ac:dyDescent="0.25">
      <c r="A12" s="5" t="s">
        <v>110</v>
      </c>
      <c r="B12" s="13">
        <v>460650</v>
      </c>
    </row>
    <row r="17" spans="1:2" x14ac:dyDescent="0.25">
      <c r="A17" s="6" t="s">
        <v>112</v>
      </c>
      <c r="B17" s="7">
        <f>IFERROR(GETPIVOTDATA("[Measures].[Total Sales]",$A$1), " ")</f>
        <v>460650</v>
      </c>
    </row>
    <row r="18" spans="1:2" x14ac:dyDescent="0.25">
      <c r="A18" s="6" t="s">
        <v>113</v>
      </c>
      <c r="B18" s="7">
        <f>IFERROR(GETPIVOTDATA("[Measures].[Total Sales]",$D$1), " ")</f>
        <v>460650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4D08C-AF34-46C8-A7B4-6B881838E39A}">
  <dimension ref="AA15:AA22"/>
  <sheetViews>
    <sheetView showGridLines="0" tabSelected="1" zoomScale="102" zoomScaleNormal="102" workbookViewId="0">
      <selection activeCell="AA24" sqref="AA24"/>
    </sheetView>
  </sheetViews>
  <sheetFormatPr defaultRowHeight="15" x14ac:dyDescent="0.25"/>
  <sheetData>
    <row r="15" spans="27:27" x14ac:dyDescent="0.25">
      <c r="AA15" s="9"/>
    </row>
    <row r="22" spans="27:27" x14ac:dyDescent="0.25">
      <c r="AA22"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7A2E0192-6417-4DDB-9132-72A9B8BB06BA}">
  <ds:schemaRefs/>
</ds:datastoreItem>
</file>

<file path=customXml/itemProps2.xml><?xml version="1.0" encoding="utf-8"?>
<ds:datastoreItem xmlns:ds="http://schemas.openxmlformats.org/officeDocument/2006/customXml" ds:itemID="{ACB29719-65E8-4280-BF2B-72911E4B0F85}">
  <ds:schemaRefs/>
</ds:datastoreItem>
</file>

<file path=customXml/itemProps3.xml><?xml version="1.0" encoding="utf-8"?>
<ds:datastoreItem xmlns:ds="http://schemas.openxmlformats.org/officeDocument/2006/customXml" ds:itemID="{3FCD01F1-5915-4EC3-BDF5-20FF58368724}">
  <ds:schemaRefs/>
</ds:datastoreItem>
</file>

<file path=customXml/itemProps4.xml><?xml version="1.0" encoding="utf-8"?>
<ds:datastoreItem xmlns:ds="http://schemas.openxmlformats.org/officeDocument/2006/customXml" ds:itemID="{46540B64-A259-4F4F-B064-7A4668A38AD4}">
  <ds:schemaRefs/>
</ds:datastoreItem>
</file>

<file path=customXml/itemProps5.xml><?xml version="1.0" encoding="utf-8"?>
<ds:datastoreItem xmlns:ds="http://schemas.openxmlformats.org/officeDocument/2006/customXml" ds:itemID="{5492467B-62E3-43F7-8FDD-6D8C3AACF6AF}">
  <ds:schemaRefs/>
</ds:datastoreItem>
</file>

<file path=customXml/itemProps6.xml><?xml version="1.0" encoding="utf-8"?>
<ds:datastoreItem xmlns:ds="http://schemas.openxmlformats.org/officeDocument/2006/customXml" ds:itemID="{372FA154-B918-4640-9813-C3EBCDF0FA96}">
  <ds:schemaRefs/>
</ds:datastoreItem>
</file>

<file path=customXml/itemProps7.xml><?xml version="1.0" encoding="utf-8"?>
<ds:datastoreItem xmlns:ds="http://schemas.openxmlformats.org/officeDocument/2006/customXml" ds:itemID="{C42B1492-E7D1-4284-AB16-3995C9441F4A}">
  <ds:schemaRefs/>
</ds:datastoreItem>
</file>

<file path=customXml/itemProps8.xml><?xml version="1.0" encoding="utf-8"?>
<ds:datastoreItem xmlns:ds="http://schemas.openxmlformats.org/officeDocument/2006/customXml" ds:itemID="{13D2D9EA-9102-4DCE-A66A-3E2F8FE76B02}">
  <ds:schemaRefs/>
</ds:datastoreItem>
</file>

<file path=customXml/itemProps9.xml><?xml version="1.0" encoding="utf-8"?>
<ds:datastoreItem xmlns:ds="http://schemas.openxmlformats.org/officeDocument/2006/customXml" ds:itemID="{C4F7A957-5A27-417F-8DFE-B0442E04B4E1}">
  <ds:schemaRefs/>
</ds:datastoreItem>
</file>

<file path=customXml/itemProps10.xml><?xml version="1.0" encoding="utf-8"?>
<ds:datastoreItem xmlns:ds="http://schemas.openxmlformats.org/officeDocument/2006/customXml" ds:itemID="{0FDC92EF-1E41-41A1-B801-1FFE1FBB06B2}">
  <ds:schemaRefs/>
</ds:datastoreItem>
</file>

<file path=customXml/itemProps11.xml><?xml version="1.0" encoding="utf-8"?>
<ds:datastoreItem xmlns:ds="http://schemas.openxmlformats.org/officeDocument/2006/customXml" ds:itemID="{59C68048-DD59-41EF-823F-091D49D09161}">
  <ds:schemaRefs/>
</ds:datastoreItem>
</file>

<file path=customXml/itemProps12.xml><?xml version="1.0" encoding="utf-8"?>
<ds:datastoreItem xmlns:ds="http://schemas.openxmlformats.org/officeDocument/2006/customXml" ds:itemID="{C4DF4408-3F33-4E8A-9062-3E84D5C0D0E8}">
  <ds:schemaRefs/>
</ds:datastoreItem>
</file>

<file path=customXml/itemProps13.xml><?xml version="1.0" encoding="utf-8"?>
<ds:datastoreItem xmlns:ds="http://schemas.openxmlformats.org/officeDocument/2006/customXml" ds:itemID="{37EF343A-6671-46F1-9385-EA41B3C235B1}">
  <ds:schemaRefs/>
</ds:datastoreItem>
</file>

<file path=customXml/itemProps14.xml><?xml version="1.0" encoding="utf-8"?>
<ds:datastoreItem xmlns:ds="http://schemas.openxmlformats.org/officeDocument/2006/customXml" ds:itemID="{887AE6A3-CA23-453C-B2AA-CB592596128E}">
  <ds:schemaRefs/>
</ds:datastoreItem>
</file>

<file path=customXml/itemProps15.xml><?xml version="1.0" encoding="utf-8"?>
<ds:datastoreItem xmlns:ds="http://schemas.openxmlformats.org/officeDocument/2006/customXml" ds:itemID="{3BB261AC-B730-4C21-B00A-EECA7535223C}">
  <ds:schemaRefs/>
</ds:datastoreItem>
</file>

<file path=customXml/itemProps16.xml><?xml version="1.0" encoding="utf-8"?>
<ds:datastoreItem xmlns:ds="http://schemas.openxmlformats.org/officeDocument/2006/customXml" ds:itemID="{C152AF52-E14B-406E-9311-8F99C06DE827}">
  <ds:schemaRefs/>
</ds:datastoreItem>
</file>

<file path=customXml/itemProps17.xml><?xml version="1.0" encoding="utf-8"?>
<ds:datastoreItem xmlns:ds="http://schemas.openxmlformats.org/officeDocument/2006/customXml" ds:itemID="{F0B8B961-F2D3-4311-AFC1-79DE22F79AF0}">
  <ds:schemaRefs/>
</ds:datastoreItem>
</file>

<file path=customXml/itemProps18.xml><?xml version="1.0" encoding="utf-8"?>
<ds:datastoreItem xmlns:ds="http://schemas.openxmlformats.org/officeDocument/2006/customXml" ds:itemID="{DF157671-77C3-4AEA-AB98-D4689713E5FC}">
  <ds:schemaRefs/>
</ds:datastoreItem>
</file>

<file path=customXml/itemProps19.xml><?xml version="1.0" encoding="utf-8"?>
<ds:datastoreItem xmlns:ds="http://schemas.openxmlformats.org/officeDocument/2006/customXml" ds:itemID="{641438FB-5180-4040-AC83-EF45211A4EA6}">
  <ds:schemaRefs/>
</ds:datastoreItem>
</file>

<file path=customXml/itemProps20.xml><?xml version="1.0" encoding="utf-8"?>
<ds:datastoreItem xmlns:ds="http://schemas.openxmlformats.org/officeDocument/2006/customXml" ds:itemID="{821BB787-11DE-4FC5-BF84-BC202A75297D}">
  <ds:schemaRefs/>
</ds:datastoreItem>
</file>

<file path=customXml/itemProps21.xml><?xml version="1.0" encoding="utf-8"?>
<ds:datastoreItem xmlns:ds="http://schemas.openxmlformats.org/officeDocument/2006/customXml" ds:itemID="{E0B431A6-B7BD-4D9A-9F95-1336C98FE5A4}">
  <ds:schemaRefs/>
</ds:datastoreItem>
</file>

<file path=customXml/itemProps22.xml><?xml version="1.0" encoding="utf-8"?>
<ds:datastoreItem xmlns:ds="http://schemas.openxmlformats.org/officeDocument/2006/customXml" ds:itemID="{E7A19D19-DA35-4D4E-A630-0A72D2126AF3}">
  <ds:schemaRefs/>
</ds:datastoreItem>
</file>

<file path=customXml/itemProps23.xml><?xml version="1.0" encoding="utf-8"?>
<ds:datastoreItem xmlns:ds="http://schemas.openxmlformats.org/officeDocument/2006/customXml" ds:itemID="{A8CAB16B-730A-42BA-90EB-504F10F3262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Products</vt:lpstr>
      <vt:lpstr>Stores</vt:lpstr>
      <vt:lpstr>Sales</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Faisal Chowhury</dc:creator>
  <cp:lastModifiedBy>Faisal Chowhury</cp:lastModifiedBy>
  <dcterms:created xsi:type="dcterms:W3CDTF">2026-10-18T12:48:16Z</dcterms:created>
  <dcterms:modified xsi:type="dcterms:W3CDTF">2026-10-28T17:17:42Z</dcterms:modified>
</cp:coreProperties>
</file>